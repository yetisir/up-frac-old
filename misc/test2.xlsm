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queryTables/queryTable1.xml" ContentType="application/vnd.openxmlformats-officedocument.spreadsheetml.query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queryTables/queryTable2.xml" ContentType="application/vnd.openxmlformats-officedocument.spreadsheetml.queryTab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4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8.xml" ContentType="application/vnd.openxmlformats-officedocument.drawing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9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Mike\Documents\GitHub\Up-Frac\misc\"/>
    </mc:Choice>
  </mc:AlternateContent>
  <bookViews>
    <workbookView xWindow="0" yWindow="0" windowWidth="20490" windowHeight="7755"/>
  </bookViews>
  <sheets>
    <sheet name="Sheet1" sheetId="1" r:id="rId1"/>
    <sheet name="Sheet2" sheetId="2" r:id="rId2"/>
    <sheet name="Sheet3" sheetId="3" r:id="rId3"/>
    <sheet name="Sheet4" sheetId="4" r:id="rId4"/>
    <sheet name="Sheet5" sheetId="5" r:id="rId5"/>
    <sheet name="Sheet6" sheetId="6" r:id="rId6"/>
    <sheet name="Sheet7" sheetId="7" r:id="rId7"/>
    <sheet name="Sheet8" sheetId="8" r:id="rId8"/>
    <sheet name="Sheet9" sheetId="9" r:id="rId9"/>
  </sheets>
  <definedNames>
    <definedName name="observationUDEC" localSheetId="1">Sheet2!$A$1:$G$102</definedName>
    <definedName name="output" localSheetId="0">Sheet1!$A$1:$G$102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4" i="7" l="1"/>
  <c r="B8" i="7" s="1"/>
  <c r="B17" i="7" l="1"/>
  <c r="B13" i="7"/>
  <c r="B9" i="7"/>
  <c r="B15" i="7"/>
  <c r="B11" i="7"/>
  <c r="B7" i="7"/>
  <c r="B14" i="7"/>
  <c r="B10" i="7"/>
  <c r="B16" i="7"/>
  <c r="B12" i="7"/>
  <c r="B4" i="8"/>
  <c r="B5" i="8"/>
  <c r="B6" i="8"/>
  <c r="B7" i="8"/>
  <c r="B8" i="8"/>
  <c r="B9" i="8"/>
  <c r="B10" i="8"/>
  <c r="B11" i="8"/>
  <c r="B12" i="8"/>
  <c r="B3" i="8"/>
  <c r="C3" i="9"/>
  <c r="C4" i="9"/>
  <c r="C5" i="9"/>
  <c r="C6" i="9"/>
  <c r="C7" i="9"/>
  <c r="C8" i="9"/>
  <c r="C9" i="9"/>
  <c r="C10" i="9"/>
  <c r="C11" i="9"/>
  <c r="C12" i="9"/>
  <c r="C2" i="9"/>
  <c r="F11" i="3"/>
  <c r="F12" i="3"/>
  <c r="F3" i="3"/>
  <c r="B3" i="3" s="1"/>
  <c r="D3" i="3" s="1"/>
  <c r="E3" i="3" s="1"/>
  <c r="F4" i="3"/>
  <c r="F5" i="3"/>
  <c r="F6" i="3"/>
  <c r="B6" i="3" s="1"/>
  <c r="D6" i="3" s="1"/>
  <c r="E6" i="3" s="1"/>
  <c r="F7" i="3"/>
  <c r="B7" i="3" s="1"/>
  <c r="D7" i="3" s="1"/>
  <c r="E7" i="3" s="1"/>
  <c r="F8" i="3"/>
  <c r="F9" i="3"/>
  <c r="F10" i="3"/>
  <c r="B10" i="3" s="1"/>
  <c r="D10" i="3" s="1"/>
  <c r="E10" i="3" s="1"/>
  <c r="B4" i="3"/>
  <c r="D4" i="3" s="1"/>
  <c r="E4" i="3" s="1"/>
  <c r="B5" i="3"/>
  <c r="D5" i="3" s="1"/>
  <c r="E5" i="3" s="1"/>
  <c r="B8" i="3"/>
  <c r="D8" i="3" s="1"/>
  <c r="E8" i="3" s="1"/>
  <c r="B9" i="3"/>
  <c r="D9" i="3" s="1"/>
  <c r="E9" i="3" s="1"/>
  <c r="F2" i="3"/>
  <c r="C41" i="3"/>
  <c r="C36" i="3"/>
  <c r="C40" i="3"/>
  <c r="C38" i="3"/>
  <c r="B2" i="3" l="1"/>
  <c r="C37" i="3" l="1"/>
  <c r="N8" i="7"/>
  <c r="O8" i="7" s="1"/>
  <c r="N9" i="7"/>
  <c r="O9" i="7" s="1"/>
  <c r="N12" i="7"/>
  <c r="O12" i="7" s="1"/>
  <c r="N13" i="7"/>
  <c r="O13" i="7" s="1"/>
  <c r="N16" i="7"/>
  <c r="O16" i="7" s="1"/>
  <c r="N17" i="7"/>
  <c r="O17" i="7" s="1"/>
  <c r="C8" i="7"/>
  <c r="C9" i="7"/>
  <c r="C10" i="7"/>
  <c r="C11" i="7"/>
  <c r="C12" i="7"/>
  <c r="C13" i="7"/>
  <c r="C14" i="7"/>
  <c r="C15" i="7"/>
  <c r="C16" i="7"/>
  <c r="C17" i="7"/>
  <c r="C7" i="7"/>
  <c r="D7" i="9"/>
  <c r="D3" i="9"/>
  <c r="D4" i="9"/>
  <c r="D5" i="9"/>
  <c r="D6" i="9"/>
  <c r="D8" i="9"/>
  <c r="D9" i="9"/>
  <c r="D10" i="9"/>
  <c r="D11" i="9"/>
  <c r="D12" i="9"/>
  <c r="D2" i="9"/>
  <c r="B3" i="9"/>
  <c r="F3" i="9" s="1"/>
  <c r="B4" i="9"/>
  <c r="F4" i="9" s="1"/>
  <c r="B5" i="9"/>
  <c r="F5" i="9" s="1"/>
  <c r="B6" i="9"/>
  <c r="F6" i="9" s="1"/>
  <c r="B7" i="9"/>
  <c r="F7" i="9" s="1"/>
  <c r="B8" i="9"/>
  <c r="F8" i="9" s="1"/>
  <c r="B9" i="9"/>
  <c r="F9" i="9" s="1"/>
  <c r="B10" i="9"/>
  <c r="F10" i="9" s="1"/>
  <c r="B11" i="9"/>
  <c r="F11" i="9" s="1"/>
  <c r="B12" i="9"/>
  <c r="F12" i="9" s="1"/>
  <c r="B2" i="9"/>
  <c r="F2" i="9" s="1"/>
  <c r="C3" i="8"/>
  <c r="D3" i="8" s="1"/>
  <c r="C11" i="8"/>
  <c r="D11" i="8" s="1"/>
  <c r="C12" i="8"/>
  <c r="D12" i="8" s="1"/>
  <c r="C4" i="8"/>
  <c r="D4" i="8" s="1"/>
  <c r="C5" i="8"/>
  <c r="D5" i="8" s="1"/>
  <c r="C6" i="8"/>
  <c r="D6" i="8" s="1"/>
  <c r="C7" i="8"/>
  <c r="D7" i="8" s="1"/>
  <c r="C8" i="8"/>
  <c r="D8" i="8" s="1"/>
  <c r="C9" i="8"/>
  <c r="D9" i="8" s="1"/>
  <c r="C10" i="8"/>
  <c r="D10" i="8" s="1"/>
  <c r="C2" i="8"/>
  <c r="D2" i="8" s="1"/>
  <c r="B2" i="8"/>
  <c r="N3" i="7"/>
  <c r="B2" i="6"/>
  <c r="B3" i="6"/>
  <c r="B4" i="6"/>
  <c r="B5" i="6"/>
  <c r="O7" i="7" l="1"/>
  <c r="N7" i="7"/>
  <c r="N15" i="7"/>
  <c r="O15" i="7" s="1"/>
  <c r="N11" i="7"/>
  <c r="O11" i="7" s="1"/>
  <c r="N14" i="7"/>
  <c r="O14" i="7" s="1"/>
  <c r="N10" i="7"/>
  <c r="O10" i="7" s="1"/>
  <c r="F10" i="8"/>
  <c r="F8" i="8"/>
  <c r="F6" i="8"/>
  <c r="F2" i="8"/>
  <c r="F7" i="8"/>
  <c r="F3" i="8"/>
  <c r="F11" i="8"/>
  <c r="F4" i="8"/>
  <c r="F9" i="8"/>
  <c r="F5" i="8"/>
  <c r="F12" i="8"/>
  <c r="E8" i="8"/>
  <c r="E12" i="8"/>
  <c r="E4" i="8"/>
  <c r="E3" i="8"/>
  <c r="E6" i="8"/>
  <c r="E7" i="8"/>
  <c r="E10" i="8"/>
  <c r="E9" i="8"/>
  <c r="E5" i="8"/>
  <c r="E11" i="8"/>
  <c r="B11" i="3"/>
  <c r="D11" i="3" s="1"/>
  <c r="E11" i="3" s="1"/>
  <c r="B12" i="3"/>
  <c r="D12" i="3" s="1"/>
  <c r="E12" i="3" s="1"/>
  <c r="D2" i="3"/>
  <c r="E2" i="3" s="1"/>
</calcChain>
</file>

<file path=xl/connections.xml><?xml version="1.0" encoding="utf-8"?>
<connections xmlns="http://schemas.openxmlformats.org/spreadsheetml/2006/main">
  <connection id="1" name="observationUDEC" type="6" refreshedVersion="5" background="1" saveData="1">
    <textPr prompt="0" codePage="850" sourceFile="C:\Users\Mike\Documents\GitHub\Up-Frac\ostrich\observationUDEC.dat" space="1" consecutive="1">
      <textFields count="7">
        <textField/>
        <textField/>
        <textField/>
        <textField/>
        <textField/>
        <textField/>
        <textField/>
      </textFields>
    </textPr>
  </connection>
  <connection id="2" name="output" type="6" refreshedVersion="5" background="1" saveData="1">
    <textPr prompt="0" codePage="850" sourceFile="C:\Users\Mike\Documents\GitHub\Up-Frac\ostrich\model0\output.dat" space="1" consecutive="1">
      <textFields count="7"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<sst xmlns="http://schemas.openxmlformats.org/spreadsheetml/2006/main" count="81" uniqueCount="47">
  <si>
    <t>time</t>
  </si>
  <si>
    <t>S11</t>
  </si>
  <si>
    <t>S22</t>
  </si>
  <si>
    <t>S12</t>
  </si>
  <si>
    <t>LE11</t>
  </si>
  <si>
    <t>LE22</t>
  </si>
  <si>
    <t>LE12</t>
  </si>
  <si>
    <t>strain</t>
  </si>
  <si>
    <t>yeild stress</t>
  </si>
  <si>
    <t>damage</t>
  </si>
  <si>
    <t>cracking strain</t>
  </si>
  <si>
    <t>plastic strain</t>
  </si>
  <si>
    <t>Run</t>
  </si>
  <si>
    <t>obj.function</t>
  </si>
  <si>
    <t>$E</t>
  </si>
  <si>
    <t>$nu</t>
  </si>
  <si>
    <t>$cys1</t>
  </si>
  <si>
    <t>$cys2</t>
  </si>
  <si>
    <t>$cys3</t>
  </si>
  <si>
    <t>$tys1</t>
  </si>
  <si>
    <t>$tys2</t>
  </si>
  <si>
    <t>$tys3</t>
  </si>
  <si>
    <t>$is2</t>
  </si>
  <si>
    <t>$cs2</t>
  </si>
  <si>
    <t>$cd</t>
  </si>
  <si>
    <t>$td</t>
  </si>
  <si>
    <t>damage scaling</t>
  </si>
  <si>
    <t>stress</t>
  </si>
  <si>
    <t>istrain</t>
  </si>
  <si>
    <t>a</t>
  </si>
  <si>
    <t>b</t>
  </si>
  <si>
    <t>c</t>
  </si>
  <si>
    <t>E0</t>
  </si>
  <si>
    <t>quad term</t>
  </si>
  <si>
    <t>m</t>
  </si>
  <si>
    <t>max M</t>
  </si>
  <si>
    <t>N</t>
  </si>
  <si>
    <t>lmabda</t>
  </si>
  <si>
    <t>max n</t>
  </si>
  <si>
    <t>n</t>
  </si>
  <si>
    <t>lambda</t>
  </si>
  <si>
    <t>damage limit</t>
  </si>
  <si>
    <t>x</t>
  </si>
  <si>
    <t xml:space="preserve">h </t>
  </si>
  <si>
    <t>k</t>
  </si>
  <si>
    <t>h</t>
  </si>
  <si>
    <t>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</si>
</sst>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1999181048660475E-2"/>
          <c:y val="0.11303617691354459"/>
          <c:w val="0.92517053654738168"/>
          <c:h val="0.85344001758499977"/>
        </c:manualLayout>
      </c:layout>
      <c:scatterChart>
        <c:scatterStyle val="smoothMarker"/>
        <c:varyColors val="0"/>
        <c:ser>
          <c:idx val="1"/>
          <c:order val="0"/>
          <c:tx>
            <c:strRef>
              <c:f>Sheet1!$C$1</c:f>
              <c:strCache>
                <c:ptCount val="1"/>
                <c:pt idx="0">
                  <c:v>S22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Sheet1!$F$2:$F$102</c:f>
              <c:numCache>
                <c:formatCode>0.00E+00</c:formatCode>
                <c:ptCount val="101"/>
                <c:pt idx="0" formatCode="General">
                  <c:v>0</c:v>
                </c:pt>
                <c:pt idx="1">
                  <c:v>4.9937229679000001E-4</c:v>
                </c:pt>
                <c:pt idx="2" formatCode="General">
                  <c:v>9.9874459358000002E-4</c:v>
                </c:pt>
                <c:pt idx="3">
                  <c:v>1.49811689037E-3</c:v>
                </c:pt>
                <c:pt idx="4" formatCode="General">
                  <c:v>1.99748918716E-3</c:v>
                </c:pt>
                <c:pt idx="5">
                  <c:v>2.4968614839499998E-3</c:v>
                </c:pt>
                <c:pt idx="6" formatCode="General">
                  <c:v>2.98574885251E-3</c:v>
                </c:pt>
                <c:pt idx="7">
                  <c:v>3.4745235763200002E-3</c:v>
                </c:pt>
                <c:pt idx="8" formatCode="General">
                  <c:v>3.9632983001300004E-3</c:v>
                </c:pt>
                <c:pt idx="9">
                  <c:v>4.4520730239400001E-3</c:v>
                </c:pt>
                <c:pt idx="10" formatCode="General">
                  <c:v>4.9408477477599997E-3</c:v>
                </c:pt>
                <c:pt idx="11">
                  <c:v>4.4814173699099999E-3</c:v>
                </c:pt>
                <c:pt idx="12" formatCode="General">
                  <c:v>3.9852711720600002E-3</c:v>
                </c:pt>
                <c:pt idx="13">
                  <c:v>3.4891249742100001E-3</c:v>
                </c:pt>
                <c:pt idx="14" formatCode="General">
                  <c:v>2.99297877636E-3</c:v>
                </c:pt>
                <c:pt idx="15">
                  <c:v>2.4968325785099999E-3</c:v>
                </c:pt>
                <c:pt idx="16" formatCode="General">
                  <c:v>1.9975821604999999E-3</c:v>
                </c:pt>
                <c:pt idx="17">
                  <c:v>1.4981704197100001E-3</c:v>
                </c:pt>
                <c:pt idx="18" formatCode="General">
                  <c:v>9.9875867891600001E-4</c:v>
                </c:pt>
                <c:pt idx="19">
                  <c:v>4.9934693812200002E-4</c:v>
                </c:pt>
                <c:pt idx="20">
                  <c:v>-6.4802671826300002E-8</c:v>
                </c:pt>
                <c:pt idx="21">
                  <c:v>-5.0066525849700003E-4</c:v>
                </c:pt>
                <c:pt idx="22" formatCode="General">
                  <c:v>-1.00129115011E-3</c:v>
                </c:pt>
                <c:pt idx="23">
                  <c:v>-1.50191704172E-3</c:v>
                </c:pt>
                <c:pt idx="24" formatCode="General">
                  <c:v>-2.00254293333E-3</c:v>
                </c:pt>
                <c:pt idx="25">
                  <c:v>-2.5031688249499999E-3</c:v>
                </c:pt>
                <c:pt idx="26" formatCode="General">
                  <c:v>-3.0050478713300002E-3</c:v>
                </c:pt>
                <c:pt idx="27">
                  <c:v>-3.5069371239299998E-3</c:v>
                </c:pt>
                <c:pt idx="28" formatCode="General">
                  <c:v>-4.0088263765299999E-3</c:v>
                </c:pt>
                <c:pt idx="29">
                  <c:v>-4.51071562913E-3</c:v>
                </c:pt>
                <c:pt idx="30" formatCode="General">
                  <c:v>-5.0126048817200003E-3</c:v>
                </c:pt>
                <c:pt idx="31">
                  <c:v>-5.51572515257E-3</c:v>
                </c:pt>
                <c:pt idx="32" formatCode="General">
                  <c:v>-6.0188710518699999E-3</c:v>
                </c:pt>
                <c:pt idx="33">
                  <c:v>-6.5220169511799996E-3</c:v>
                </c:pt>
                <c:pt idx="34" formatCode="General">
                  <c:v>-7.0251628504900002E-3</c:v>
                </c:pt>
                <c:pt idx="35">
                  <c:v>-7.5283087497900001E-3</c:v>
                </c:pt>
                <c:pt idx="36" formatCode="General">
                  <c:v>-8.0327095248700006E-3</c:v>
                </c:pt>
                <c:pt idx="37">
                  <c:v>-8.5371131787100006E-3</c:v>
                </c:pt>
                <c:pt idx="38" formatCode="General">
                  <c:v>-9.0415168325500006E-3</c:v>
                </c:pt>
                <c:pt idx="39">
                  <c:v>-9.5459204863999995E-3</c:v>
                </c:pt>
                <c:pt idx="40">
                  <c:v>-1.00503241402E-2</c:v>
                </c:pt>
                <c:pt idx="41">
                  <c:v>-1.05559939636E-2</c:v>
                </c:pt>
                <c:pt idx="42" formatCode="General">
                  <c:v>-1.10616835935E-2</c:v>
                </c:pt>
                <c:pt idx="43">
                  <c:v>-1.1567373223300001E-2</c:v>
                </c:pt>
                <c:pt idx="44" formatCode="General">
                  <c:v>-1.2073062853099999E-2</c:v>
                </c:pt>
                <c:pt idx="45">
                  <c:v>-1.25787524829E-2</c:v>
                </c:pt>
                <c:pt idx="46" formatCode="General">
                  <c:v>-1.30857274932E-2</c:v>
                </c:pt>
                <c:pt idx="47">
                  <c:v>-1.35927050091E-2</c:v>
                </c:pt>
                <c:pt idx="48" formatCode="General">
                  <c:v>-1.4099682525000001E-2</c:v>
                </c:pt>
                <c:pt idx="49">
                  <c:v>-1.4606660040899999E-2</c:v>
                </c:pt>
                <c:pt idx="50" formatCode="General">
                  <c:v>-1.51136375567E-2</c:v>
                </c:pt>
                <c:pt idx="51">
                  <c:v>-1.5621885010300001E-2</c:v>
                </c:pt>
                <c:pt idx="52" formatCode="General">
                  <c:v>-1.6130136381700001E-2</c:v>
                </c:pt>
                <c:pt idx="53">
                  <c:v>-1.66383877531E-2</c:v>
                </c:pt>
                <c:pt idx="54" formatCode="General">
                  <c:v>-1.7146639124499999E-2</c:v>
                </c:pt>
                <c:pt idx="55">
                  <c:v>-1.7654890495900001E-2</c:v>
                </c:pt>
                <c:pt idx="56" formatCode="General">
                  <c:v>-1.81564893917E-2</c:v>
                </c:pt>
                <c:pt idx="57">
                  <c:v>-1.86580815557E-2</c:v>
                </c:pt>
                <c:pt idx="58" formatCode="General">
                  <c:v>-1.91596737197E-2</c:v>
                </c:pt>
                <c:pt idx="59">
                  <c:v>-1.9661265883699999E-2</c:v>
                </c:pt>
                <c:pt idx="60">
                  <c:v>-2.0162858047699999E-2</c:v>
                </c:pt>
                <c:pt idx="61">
                  <c:v>-1.9681700367399999E-2</c:v>
                </c:pt>
                <c:pt idx="62">
                  <c:v>-1.917500313E-2</c:v>
                </c:pt>
                <c:pt idx="63">
                  <c:v>-1.86683058926E-2</c:v>
                </c:pt>
                <c:pt idx="64">
                  <c:v>-1.8161608655300001E-2</c:v>
                </c:pt>
                <c:pt idx="65">
                  <c:v>-1.7654911417900002E-2</c:v>
                </c:pt>
                <c:pt idx="66">
                  <c:v>-1.71466868465E-2</c:v>
                </c:pt>
                <c:pt idx="67">
                  <c:v>-1.66384421006E-2</c:v>
                </c:pt>
                <c:pt idx="68">
                  <c:v>-1.6130197354600001E-2</c:v>
                </c:pt>
                <c:pt idx="69">
                  <c:v>-1.56219526087E-2</c:v>
                </c:pt>
                <c:pt idx="70">
                  <c:v>-1.51137078628E-2</c:v>
                </c:pt>
                <c:pt idx="71">
                  <c:v>-1.46067524421E-2</c:v>
                </c:pt>
                <c:pt idx="72">
                  <c:v>-1.4099806671600001E-2</c:v>
                </c:pt>
                <c:pt idx="73">
                  <c:v>-1.35928609011E-2</c:v>
                </c:pt>
                <c:pt idx="74">
                  <c:v>-1.30859151306E-2</c:v>
                </c:pt>
                <c:pt idx="75">
                  <c:v>-1.2578969360200001E-2</c:v>
                </c:pt>
                <c:pt idx="76">
                  <c:v>-1.20732712499E-2</c:v>
                </c:pt>
                <c:pt idx="77">
                  <c:v>-1.15675754163E-2</c:v>
                </c:pt>
                <c:pt idx="78">
                  <c:v>-1.1061879582799999E-2</c:v>
                </c:pt>
                <c:pt idx="79">
                  <c:v>-1.0556183749300001E-2</c:v>
                </c:pt>
                <c:pt idx="80">
                  <c:v>-1.00504879158E-2</c:v>
                </c:pt>
                <c:pt idx="81">
                  <c:v>-9.5460626499799996E-3</c:v>
                </c:pt>
                <c:pt idx="82">
                  <c:v>-9.0416473985000002E-3</c:v>
                </c:pt>
                <c:pt idx="83">
                  <c:v>-8.5372321470200008E-3</c:v>
                </c:pt>
                <c:pt idx="84">
                  <c:v>-8.0328168955399997E-3</c:v>
                </c:pt>
                <c:pt idx="85">
                  <c:v>-7.5284016440700001E-3</c:v>
                </c:pt>
                <c:pt idx="86">
                  <c:v>-7.0252250647599998E-3</c:v>
                </c:pt>
                <c:pt idx="87">
                  <c:v>-6.5220786026400001E-3</c:v>
                </c:pt>
                <c:pt idx="88">
                  <c:v>-6.0189321405200004E-3</c:v>
                </c:pt>
                <c:pt idx="89">
                  <c:v>-5.5157856784099997E-3</c:v>
                </c:pt>
                <c:pt idx="90">
                  <c:v>-5.01263921629E-3</c:v>
                </c:pt>
                <c:pt idx="91">
                  <c:v>-4.5107442582800004E-3</c:v>
                </c:pt>
                <c:pt idx="92">
                  <c:v>-4.0088622026699999E-3</c:v>
                </c:pt>
                <c:pt idx="93">
                  <c:v>-3.5069801470599998E-3</c:v>
                </c:pt>
                <c:pt idx="94">
                  <c:v>-3.0050980914499998E-3</c:v>
                </c:pt>
                <c:pt idx="95">
                  <c:v>-2.5032160358400002E-3</c:v>
                </c:pt>
                <c:pt idx="96">
                  <c:v>-2.0025931228899998E-3</c:v>
                </c:pt>
                <c:pt idx="97">
                  <c:v>-1.5019746444900001E-3</c:v>
                </c:pt>
                <c:pt idx="98">
                  <c:v>-1.0013561660899999E-3</c:v>
                </c:pt>
                <c:pt idx="99">
                  <c:v>-5.0073768768900005E-4</c:v>
                </c:pt>
                <c:pt idx="100">
                  <c:v>-1.19209289551E-7</c:v>
                </c:pt>
              </c:numCache>
            </c:numRef>
          </c:xVal>
          <c:yVal>
            <c:numRef>
              <c:f>Sheet1!$C$2:$C$102</c:f>
              <c:numCache>
                <c:formatCode>General</c:formatCode>
                <c:ptCount val="101"/>
                <c:pt idx="0">
                  <c:v>0</c:v>
                </c:pt>
                <c:pt idx="1">
                  <c:v>7003087.6213300005</c:v>
                </c:pt>
                <c:pt idx="2">
                  <c:v>14006175.242699999</c:v>
                </c:pt>
                <c:pt idx="3">
                  <c:v>21009262.864</c:v>
                </c:pt>
                <c:pt idx="4">
                  <c:v>28012350.485300001</c:v>
                </c:pt>
                <c:pt idx="5">
                  <c:v>35015438.106600001</c:v>
                </c:pt>
                <c:pt idx="6">
                  <c:v>30558494.1644</c:v>
                </c:pt>
                <c:pt idx="7">
                  <c:v>25978429.4641</c:v>
                </c:pt>
                <c:pt idx="8">
                  <c:v>21398364.763799999</c:v>
                </c:pt>
                <c:pt idx="9">
                  <c:v>16818300.0634</c:v>
                </c:pt>
                <c:pt idx="10">
                  <c:v>12238235.3631</c:v>
                </c:pt>
                <c:pt idx="11">
                  <c:v>10721120.3895</c:v>
                </c:pt>
                <c:pt idx="12">
                  <c:v>9322607.0884499997</c:v>
                </c:pt>
                <c:pt idx="13">
                  <c:v>7924093.7873600004</c:v>
                </c:pt>
                <c:pt idx="14">
                  <c:v>6525580.4862599997</c:v>
                </c:pt>
                <c:pt idx="15">
                  <c:v>5127067.1851700004</c:v>
                </c:pt>
                <c:pt idx="16">
                  <c:v>2352724.2639100002</c:v>
                </c:pt>
                <c:pt idx="17">
                  <c:v>-493118.95779700001</c:v>
                </c:pt>
                <c:pt idx="18">
                  <c:v>-3338962.1795100002</c:v>
                </c:pt>
                <c:pt idx="19">
                  <c:v>-6184805.4012200003</c:v>
                </c:pt>
                <c:pt idx="20">
                  <c:v>-9030648.6229299996</c:v>
                </c:pt>
                <c:pt idx="21">
                  <c:v>-15964186.4904</c:v>
                </c:pt>
                <c:pt idx="22">
                  <c:v>-22985386.048999999</c:v>
                </c:pt>
                <c:pt idx="23">
                  <c:v>-30006585.607700001</c:v>
                </c:pt>
                <c:pt idx="24">
                  <c:v>-37027785.166299999</c:v>
                </c:pt>
                <c:pt idx="25">
                  <c:v>-44048984.725000001</c:v>
                </c:pt>
                <c:pt idx="26">
                  <c:v>-48070636.480300002</c:v>
                </c:pt>
                <c:pt idx="27">
                  <c:v>-52067990.525600001</c:v>
                </c:pt>
                <c:pt idx="28">
                  <c:v>-56065344.570900001</c:v>
                </c:pt>
                <c:pt idx="29">
                  <c:v>-60062698.616099998</c:v>
                </c:pt>
                <c:pt idx="30">
                  <c:v>-64060052.661399998</c:v>
                </c:pt>
                <c:pt idx="31">
                  <c:v>-67456796.980199993</c:v>
                </c:pt>
                <c:pt idx="32">
                  <c:v>-70841037.257300004</c:v>
                </c:pt>
                <c:pt idx="33">
                  <c:v>-74225277.534400001</c:v>
                </c:pt>
                <c:pt idx="34">
                  <c:v>-77609517.8116</c:v>
                </c:pt>
                <c:pt idx="35">
                  <c:v>-80993758.088699996</c:v>
                </c:pt>
                <c:pt idx="36">
                  <c:v>-83989580.227400005</c:v>
                </c:pt>
                <c:pt idx="37">
                  <c:v>-86984511.3081</c:v>
                </c:pt>
                <c:pt idx="38">
                  <c:v>-89979442.388699993</c:v>
                </c:pt>
                <c:pt idx="39">
                  <c:v>-92974373.469400004</c:v>
                </c:pt>
                <c:pt idx="40">
                  <c:v>-95969304.550099999</c:v>
                </c:pt>
                <c:pt idx="41">
                  <c:v>-98456222.065200001</c:v>
                </c:pt>
                <c:pt idx="42">
                  <c:v>-100935192.84199999</c:v>
                </c:pt>
                <c:pt idx="43">
                  <c:v>-103414163.619</c:v>
                </c:pt>
                <c:pt idx="44">
                  <c:v>-105893134.396</c:v>
                </c:pt>
                <c:pt idx="45">
                  <c:v>-108372105.17299999</c:v>
                </c:pt>
                <c:pt idx="46">
                  <c:v>-110077013.04099999</c:v>
                </c:pt>
                <c:pt idx="47">
                  <c:v>-111780412.037</c:v>
                </c:pt>
                <c:pt idx="48">
                  <c:v>-113483811.03399999</c:v>
                </c:pt>
                <c:pt idx="49">
                  <c:v>-115187210.03</c:v>
                </c:pt>
                <c:pt idx="50">
                  <c:v>-116890609.027</c:v>
                </c:pt>
                <c:pt idx="51">
                  <c:v>-117334382.33</c:v>
                </c:pt>
                <c:pt idx="52">
                  <c:v>-117774269.57799999</c:v>
                </c:pt>
                <c:pt idx="53">
                  <c:v>-118214156.825</c:v>
                </c:pt>
                <c:pt idx="54">
                  <c:v>-118654044.073</c:v>
                </c:pt>
                <c:pt idx="55">
                  <c:v>-119093931.31999999</c:v>
                </c:pt>
                <c:pt idx="56">
                  <c:v>-119092981.00300001</c:v>
                </c:pt>
                <c:pt idx="57">
                  <c:v>-119091584.595</c:v>
                </c:pt>
                <c:pt idx="58">
                  <c:v>-119090188.18700001</c:v>
                </c:pt>
                <c:pt idx="59">
                  <c:v>-119088791.779</c:v>
                </c:pt>
                <c:pt idx="60">
                  <c:v>-119087395.37</c:v>
                </c:pt>
                <c:pt idx="61">
                  <c:v>-113204044.66599999</c:v>
                </c:pt>
                <c:pt idx="62">
                  <c:v>-107167834.60600001</c:v>
                </c:pt>
                <c:pt idx="63">
                  <c:v>-101131624.54700001</c:v>
                </c:pt>
                <c:pt idx="64">
                  <c:v>-95095414.487499997</c:v>
                </c:pt>
                <c:pt idx="65">
                  <c:v>-89059204.428100005</c:v>
                </c:pt>
                <c:pt idx="66">
                  <c:v>-82969717.877299994</c:v>
                </c:pt>
                <c:pt idx="67">
                  <c:v>-76879527.600999996</c:v>
                </c:pt>
                <c:pt idx="68">
                  <c:v>-70789337.324699998</c:v>
                </c:pt>
                <c:pt idx="69">
                  <c:v>-64699147.048500001</c:v>
                </c:pt>
                <c:pt idx="70">
                  <c:v>-58608956.772200003</c:v>
                </c:pt>
                <c:pt idx="71">
                  <c:v>-52534041.029100001</c:v>
                </c:pt>
                <c:pt idx="72">
                  <c:v>-46459239.6118</c:v>
                </c:pt>
                <c:pt idx="73">
                  <c:v>-40384438.194499999</c:v>
                </c:pt>
                <c:pt idx="74">
                  <c:v>-34309636.777099997</c:v>
                </c:pt>
                <c:pt idx="75">
                  <c:v>-28234835.3598</c:v>
                </c:pt>
                <c:pt idx="76">
                  <c:v>-22220541.0942</c:v>
                </c:pt>
                <c:pt idx="77">
                  <c:v>-16206357.2446</c:v>
                </c:pt>
                <c:pt idx="78">
                  <c:v>-10192173.395099999</c:v>
                </c:pt>
                <c:pt idx="79">
                  <c:v>-4177989.5454899999</c:v>
                </c:pt>
                <c:pt idx="80">
                  <c:v>1836194.30409</c:v>
                </c:pt>
                <c:pt idx="81">
                  <c:v>3094769.7382999999</c:v>
                </c:pt>
                <c:pt idx="82">
                  <c:v>4315862.4546499997</c:v>
                </c:pt>
                <c:pt idx="83">
                  <c:v>5536955.1709899995</c:v>
                </c:pt>
                <c:pt idx="84">
                  <c:v>6758047.8873399999</c:v>
                </c:pt>
                <c:pt idx="85">
                  <c:v>7979140.6036900003</c:v>
                </c:pt>
                <c:pt idx="86">
                  <c:v>7617333.0577199999</c:v>
                </c:pt>
                <c:pt idx="87">
                  <c:v>7217038.85035</c:v>
                </c:pt>
                <c:pt idx="88">
                  <c:v>6816744.6429899996</c:v>
                </c:pt>
                <c:pt idx="89">
                  <c:v>6416450.4356199997</c:v>
                </c:pt>
                <c:pt idx="90">
                  <c:v>6016156.2282600002</c:v>
                </c:pt>
                <c:pt idx="91">
                  <c:v>5418675.5515299998</c:v>
                </c:pt>
                <c:pt idx="92">
                  <c:v>4819161.9775900003</c:v>
                </c:pt>
                <c:pt idx="93">
                  <c:v>4219648.4036499998</c:v>
                </c:pt>
                <c:pt idx="94">
                  <c:v>3620134.8297100002</c:v>
                </c:pt>
                <c:pt idx="95">
                  <c:v>3020621.2557700002</c:v>
                </c:pt>
                <c:pt idx="96">
                  <c:v>2921345.5318300002</c:v>
                </c:pt>
                <c:pt idx="97">
                  <c:v>2823831.5863700002</c:v>
                </c:pt>
                <c:pt idx="98">
                  <c:v>2726317.6409100001</c:v>
                </c:pt>
                <c:pt idx="99">
                  <c:v>2628803.6954600001</c:v>
                </c:pt>
                <c:pt idx="100">
                  <c:v>2531289.75</c:v>
                </c:pt>
              </c:numCache>
            </c:numRef>
          </c:yVal>
          <c:smooth val="1"/>
        </c:ser>
        <c:ser>
          <c:idx val="0"/>
          <c:order val="1"/>
          <c:tx>
            <c:strRef>
              <c:f>Sheet2!$C$1</c:f>
              <c:strCache>
                <c:ptCount val="1"/>
                <c:pt idx="0">
                  <c:v>S22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Sheet2!$F$2:$F$162</c:f>
              <c:numCache>
                <c:formatCode>0.00E+00</c:formatCode>
                <c:ptCount val="161"/>
                <c:pt idx="0" formatCode="General">
                  <c:v>0</c:v>
                </c:pt>
                <c:pt idx="1">
                  <c:v>4.7275170054300001E-4</c:v>
                </c:pt>
                <c:pt idx="2" formatCode="General">
                  <c:v>9.4565283574300004E-4</c:v>
                </c:pt>
                <c:pt idx="3">
                  <c:v>1.41292824326E-3</c:v>
                </c:pt>
                <c:pt idx="4" formatCode="General">
                  <c:v>1.8186028859E-3</c:v>
                </c:pt>
                <c:pt idx="5">
                  <c:v>2.2368780265999999E-3</c:v>
                </c:pt>
                <c:pt idx="6" formatCode="General">
                  <c:v>2.5956433092000001E-3</c:v>
                </c:pt>
                <c:pt idx="7">
                  <c:v>2.9853067607799998E-3</c:v>
                </c:pt>
                <c:pt idx="8" formatCode="General">
                  <c:v>3.4574937231300002E-3</c:v>
                </c:pt>
                <c:pt idx="9">
                  <c:v>3.8554089176700002E-3</c:v>
                </c:pt>
                <c:pt idx="10" formatCode="General">
                  <c:v>4.15705918988E-3</c:v>
                </c:pt>
                <c:pt idx="11">
                  <c:v>3.7298574183900002E-3</c:v>
                </c:pt>
                <c:pt idx="12" formatCode="General">
                  <c:v>3.2631121046400001E-3</c:v>
                </c:pt>
                <c:pt idx="13">
                  <c:v>2.8139778572100001E-3</c:v>
                </c:pt>
                <c:pt idx="14" formatCode="General">
                  <c:v>2.3714438071000001E-3</c:v>
                </c:pt>
                <c:pt idx="15">
                  <c:v>1.9333753090800001E-3</c:v>
                </c:pt>
                <c:pt idx="16" formatCode="General">
                  <c:v>1.5243113871900001E-3</c:v>
                </c:pt>
                <c:pt idx="17">
                  <c:v>1.1001934697300001E-3</c:v>
                </c:pt>
                <c:pt idx="18" formatCode="General">
                  <c:v>6.8197434594499998E-4</c:v>
                </c:pt>
                <c:pt idx="19">
                  <c:v>2.5850450396600001E-4</c:v>
                </c:pt>
                <c:pt idx="20" formatCode="General">
                  <c:v>-1.4652658455500001E-4</c:v>
                </c:pt>
                <c:pt idx="21">
                  <c:v>-5.4969598648800001E-4</c:v>
                </c:pt>
                <c:pt idx="22" formatCode="General">
                  <c:v>-1.0014824311E-3</c:v>
                </c:pt>
                <c:pt idx="23">
                  <c:v>-1.4843978350199999E-3</c:v>
                </c:pt>
                <c:pt idx="24" formatCode="General">
                  <c:v>-1.96906791974E-3</c:v>
                </c:pt>
                <c:pt idx="25">
                  <c:v>-2.43316186538E-3</c:v>
                </c:pt>
                <c:pt idx="26" formatCode="General">
                  <c:v>-2.8932534176199999E-3</c:v>
                </c:pt>
                <c:pt idx="27">
                  <c:v>-3.3711525075799998E-3</c:v>
                </c:pt>
                <c:pt idx="28">
                  <c:v>-3.88589194723E-3</c:v>
                </c:pt>
                <c:pt idx="29">
                  <c:v>-4.3597914892800002E-3</c:v>
                </c:pt>
                <c:pt idx="30" formatCode="General">
                  <c:v>-4.84203411306E-3</c:v>
                </c:pt>
                <c:pt idx="31">
                  <c:v>-5.3227691381599997E-3</c:v>
                </c:pt>
                <c:pt idx="32" formatCode="General">
                  <c:v>-5.8055995567500001E-3</c:v>
                </c:pt>
                <c:pt idx="33">
                  <c:v>-6.2528848014100002E-3</c:v>
                </c:pt>
                <c:pt idx="34" formatCode="General">
                  <c:v>-6.7179910472399997E-3</c:v>
                </c:pt>
                <c:pt idx="35">
                  <c:v>-7.1957632461700002E-3</c:v>
                </c:pt>
                <c:pt idx="36" formatCode="General">
                  <c:v>-7.6771256020400002E-3</c:v>
                </c:pt>
                <c:pt idx="37">
                  <c:v>-8.1227693510999999E-3</c:v>
                </c:pt>
                <c:pt idx="38" formatCode="General">
                  <c:v>-8.6310420549199993E-3</c:v>
                </c:pt>
                <c:pt idx="39">
                  <c:v>-9.0986155420700009E-3</c:v>
                </c:pt>
                <c:pt idx="40">
                  <c:v>-9.5382422181300008E-3</c:v>
                </c:pt>
                <c:pt idx="41">
                  <c:v>-9.9963894435899994E-3</c:v>
                </c:pt>
                <c:pt idx="42">
                  <c:v>-1.04601346163E-2</c:v>
                </c:pt>
                <c:pt idx="43">
                  <c:v>-1.09337287455E-2</c:v>
                </c:pt>
                <c:pt idx="44">
                  <c:v>-1.1357802057899999E-2</c:v>
                </c:pt>
                <c:pt idx="45">
                  <c:v>-1.1797334745899999E-2</c:v>
                </c:pt>
                <c:pt idx="46">
                  <c:v>-1.2270160737399999E-2</c:v>
                </c:pt>
                <c:pt idx="47">
                  <c:v>-1.28639299352E-2</c:v>
                </c:pt>
                <c:pt idx="48">
                  <c:v>-1.32018694348E-2</c:v>
                </c:pt>
                <c:pt idx="49">
                  <c:v>-1.35051620264E-2</c:v>
                </c:pt>
                <c:pt idx="50">
                  <c:v>-1.40139068222E-2</c:v>
                </c:pt>
                <c:pt idx="51">
                  <c:v>-1.4497718188999999E-2</c:v>
                </c:pt>
                <c:pt idx="52">
                  <c:v>-1.49111381525E-2</c:v>
                </c:pt>
                <c:pt idx="53">
                  <c:v>-1.5363703113400001E-2</c:v>
                </c:pt>
                <c:pt idx="54">
                  <c:v>-1.5837573284400001E-2</c:v>
                </c:pt>
                <c:pt idx="55">
                  <c:v>-1.6289274445700001E-2</c:v>
                </c:pt>
                <c:pt idx="56">
                  <c:v>-1.6756585285899999E-2</c:v>
                </c:pt>
                <c:pt idx="57">
                  <c:v>-1.7227454924000001E-2</c:v>
                </c:pt>
                <c:pt idx="58">
                  <c:v>-1.7716476109900001E-2</c:v>
                </c:pt>
                <c:pt idx="59">
                  <c:v>-1.8126248635500001E-2</c:v>
                </c:pt>
                <c:pt idx="60">
                  <c:v>-1.8557547287100001E-2</c:v>
                </c:pt>
                <c:pt idx="61">
                  <c:v>-1.82798586402E-2</c:v>
                </c:pt>
                <c:pt idx="62">
                  <c:v>-1.7941843056900001E-2</c:v>
                </c:pt>
                <c:pt idx="63">
                  <c:v>-1.7480837272300001E-2</c:v>
                </c:pt>
                <c:pt idx="64">
                  <c:v>-1.7031039552299999E-2</c:v>
                </c:pt>
                <c:pt idx="65">
                  <c:v>-1.6554114749599998E-2</c:v>
                </c:pt>
                <c:pt idx="66">
                  <c:v>-1.6076198149499999E-2</c:v>
                </c:pt>
                <c:pt idx="67">
                  <c:v>-1.5604643388700001E-2</c:v>
                </c:pt>
                <c:pt idx="68">
                  <c:v>-1.51857822195E-2</c:v>
                </c:pt>
                <c:pt idx="69">
                  <c:v>-1.4764423208600001E-2</c:v>
                </c:pt>
                <c:pt idx="70">
                  <c:v>-1.42939013265E-2</c:v>
                </c:pt>
                <c:pt idx="71">
                  <c:v>-1.37906752225E-2</c:v>
                </c:pt>
                <c:pt idx="72">
                  <c:v>-1.32952913499E-2</c:v>
                </c:pt>
                <c:pt idx="73">
                  <c:v>-1.2794488120200001E-2</c:v>
                </c:pt>
                <c:pt idx="74">
                  <c:v>-1.22993198798E-2</c:v>
                </c:pt>
                <c:pt idx="75">
                  <c:v>-1.17957276055E-2</c:v>
                </c:pt>
                <c:pt idx="76">
                  <c:v>-1.1306034852400001E-2</c:v>
                </c:pt>
                <c:pt idx="77">
                  <c:v>-1.0828089084E-2</c:v>
                </c:pt>
                <c:pt idx="78">
                  <c:v>-1.03549064593E-2</c:v>
                </c:pt>
                <c:pt idx="79">
                  <c:v>-9.8758953564299992E-3</c:v>
                </c:pt>
                <c:pt idx="80">
                  <c:v>-9.3579375352500008E-3</c:v>
                </c:pt>
                <c:pt idx="81">
                  <c:v>-8.8286743848700003E-3</c:v>
                </c:pt>
                <c:pt idx="82">
                  <c:v>-8.3137780961000003E-3</c:v>
                </c:pt>
                <c:pt idx="83">
                  <c:v>-7.87193035779E-3</c:v>
                </c:pt>
                <c:pt idx="84">
                  <c:v>-7.4501681175500002E-3</c:v>
                </c:pt>
                <c:pt idx="85">
                  <c:v>-6.9283339900299999E-3</c:v>
                </c:pt>
                <c:pt idx="86">
                  <c:v>-6.4403004017599998E-3</c:v>
                </c:pt>
                <c:pt idx="87">
                  <c:v>-5.9325595213699997E-3</c:v>
                </c:pt>
                <c:pt idx="88">
                  <c:v>-5.4403951313800004E-3</c:v>
                </c:pt>
                <c:pt idx="89">
                  <c:v>-4.9858511831800002E-3</c:v>
                </c:pt>
                <c:pt idx="90">
                  <c:v>-4.5342407237199999E-3</c:v>
                </c:pt>
                <c:pt idx="91">
                  <c:v>-4.0837746705199999E-3</c:v>
                </c:pt>
                <c:pt idx="92">
                  <c:v>-3.62929738599E-3</c:v>
                </c:pt>
                <c:pt idx="93">
                  <c:v>-3.18889023224E-3</c:v>
                </c:pt>
                <c:pt idx="94">
                  <c:v>-2.72112270575E-3</c:v>
                </c:pt>
                <c:pt idx="95">
                  <c:v>-2.2301235826299999E-3</c:v>
                </c:pt>
                <c:pt idx="96">
                  <c:v>-1.7816833206500001E-3</c:v>
                </c:pt>
                <c:pt idx="97">
                  <c:v>-1.3178303839400001E-3</c:v>
                </c:pt>
                <c:pt idx="98">
                  <c:v>-8.3259260151300005E-4</c:v>
                </c:pt>
                <c:pt idx="99">
                  <c:v>-3.3871539533499999E-4</c:v>
                </c:pt>
                <c:pt idx="100">
                  <c:v>1.6235441592399999E-4</c:v>
                </c:pt>
              </c:numCache>
            </c:numRef>
          </c:xVal>
          <c:yVal>
            <c:numRef>
              <c:f>Sheet2!$C$2:$C$162</c:f>
              <c:numCache>
                <c:formatCode>General</c:formatCode>
                <c:ptCount val="161"/>
                <c:pt idx="0">
                  <c:v>0</c:v>
                </c:pt>
                <c:pt idx="1">
                  <c:v>6864652.8659300003</c:v>
                </c:pt>
                <c:pt idx="2">
                  <c:v>13008560.3212</c:v>
                </c:pt>
                <c:pt idx="3">
                  <c:v>18484853.663600001</c:v>
                </c:pt>
                <c:pt idx="4">
                  <c:v>22958147.2881</c:v>
                </c:pt>
                <c:pt idx="5">
                  <c:v>24667171.438299999</c:v>
                </c:pt>
                <c:pt idx="6">
                  <c:v>25478559.090300001</c:v>
                </c:pt>
                <c:pt idx="7">
                  <c:v>16990875.733800001</c:v>
                </c:pt>
                <c:pt idx="8">
                  <c:v>16283780.758400001</c:v>
                </c:pt>
                <c:pt idx="9">
                  <c:v>15956947.7919</c:v>
                </c:pt>
                <c:pt idx="10">
                  <c:v>14913047.6401</c:v>
                </c:pt>
                <c:pt idx="11">
                  <c:v>9618846.5151099991</c:v>
                </c:pt>
                <c:pt idx="12">
                  <c:v>7463699.6300600003</c:v>
                </c:pt>
                <c:pt idx="13">
                  <c:v>5572539.0013800003</c:v>
                </c:pt>
                <c:pt idx="14">
                  <c:v>3886036.51945</c:v>
                </c:pt>
                <c:pt idx="15">
                  <c:v>2324468.57944</c:v>
                </c:pt>
                <c:pt idx="16">
                  <c:v>1185362.4625800001</c:v>
                </c:pt>
                <c:pt idx="17">
                  <c:v>-217986.50533499999</c:v>
                </c:pt>
                <c:pt idx="18">
                  <c:v>-1580097.98489</c:v>
                </c:pt>
                <c:pt idx="19">
                  <c:v>-3397090.3793600001</c:v>
                </c:pt>
                <c:pt idx="20">
                  <c:v>-5426750.2094599996</c:v>
                </c:pt>
                <c:pt idx="21">
                  <c:v>-8692379.5460400004</c:v>
                </c:pt>
                <c:pt idx="22">
                  <c:v>-13923365.334100001</c:v>
                </c:pt>
                <c:pt idx="23">
                  <c:v>-19742848.8257</c:v>
                </c:pt>
                <c:pt idx="24">
                  <c:v>-25533692.089899998</c:v>
                </c:pt>
                <c:pt idx="25">
                  <c:v>-31135786.380600002</c:v>
                </c:pt>
                <c:pt idx="26">
                  <c:v>-36229557.612499997</c:v>
                </c:pt>
                <c:pt idx="27">
                  <c:v>-41750657.1241</c:v>
                </c:pt>
                <c:pt idx="28">
                  <c:v>-46049867.961300001</c:v>
                </c:pt>
                <c:pt idx="29">
                  <c:v>-50691153.508599997</c:v>
                </c:pt>
                <c:pt idx="30">
                  <c:v>-55945880.4485</c:v>
                </c:pt>
                <c:pt idx="31">
                  <c:v>-59809740.222099997</c:v>
                </c:pt>
                <c:pt idx="32">
                  <c:v>-64584752.7949</c:v>
                </c:pt>
                <c:pt idx="33">
                  <c:v>-69435869.629299998</c:v>
                </c:pt>
                <c:pt idx="34">
                  <c:v>-74308044.211199999</c:v>
                </c:pt>
                <c:pt idx="35">
                  <c:v>-78918232.492200002</c:v>
                </c:pt>
                <c:pt idx="36">
                  <c:v>-82905768.122899994</c:v>
                </c:pt>
                <c:pt idx="37">
                  <c:v>-86220133.626000002</c:v>
                </c:pt>
                <c:pt idx="38">
                  <c:v>-88278531.904799998</c:v>
                </c:pt>
                <c:pt idx="39">
                  <c:v>-92194337.594899997</c:v>
                </c:pt>
                <c:pt idx="40">
                  <c:v>-94680647.670900002</c:v>
                </c:pt>
                <c:pt idx="41">
                  <c:v>-97188569.028899997</c:v>
                </c:pt>
                <c:pt idx="42">
                  <c:v>-100104505.264</c:v>
                </c:pt>
                <c:pt idx="43">
                  <c:v>-100685380.97499999</c:v>
                </c:pt>
                <c:pt idx="44">
                  <c:v>-99629596.925999999</c:v>
                </c:pt>
                <c:pt idx="45">
                  <c:v>-101571413.23800001</c:v>
                </c:pt>
                <c:pt idx="46">
                  <c:v>-103936948.457</c:v>
                </c:pt>
                <c:pt idx="47">
                  <c:v>-107009866.77</c:v>
                </c:pt>
                <c:pt idx="48">
                  <c:v>-108665291.487</c:v>
                </c:pt>
                <c:pt idx="49">
                  <c:v>-109578539.234</c:v>
                </c:pt>
                <c:pt idx="50">
                  <c:v>-110083785.627</c:v>
                </c:pt>
                <c:pt idx="51">
                  <c:v>-110919824.05599999</c:v>
                </c:pt>
                <c:pt idx="52">
                  <c:v>-112556137.832</c:v>
                </c:pt>
                <c:pt idx="53">
                  <c:v>-113753263.19499999</c:v>
                </c:pt>
                <c:pt idx="54">
                  <c:v>-115875270.671</c:v>
                </c:pt>
                <c:pt idx="55">
                  <c:v>-117640093.045</c:v>
                </c:pt>
                <c:pt idx="56">
                  <c:v>-119414790.073</c:v>
                </c:pt>
                <c:pt idx="57">
                  <c:v>-120319904.818</c:v>
                </c:pt>
                <c:pt idx="58">
                  <c:v>-122077536.83</c:v>
                </c:pt>
                <c:pt idx="59">
                  <c:v>-123219919.60699999</c:v>
                </c:pt>
                <c:pt idx="60">
                  <c:v>-122248515.69599999</c:v>
                </c:pt>
                <c:pt idx="61">
                  <c:v>-112290915.302</c:v>
                </c:pt>
                <c:pt idx="62">
                  <c:v>-104445978.08499999</c:v>
                </c:pt>
                <c:pt idx="63">
                  <c:v>-96984583.067900002</c:v>
                </c:pt>
                <c:pt idx="64">
                  <c:v>-90447774.897699997</c:v>
                </c:pt>
                <c:pt idx="65">
                  <c:v>-83866596.697099999</c:v>
                </c:pt>
                <c:pt idx="66">
                  <c:v>-77578773.734599993</c:v>
                </c:pt>
                <c:pt idx="67">
                  <c:v>-71388719.359599993</c:v>
                </c:pt>
                <c:pt idx="68">
                  <c:v>-66695557.754500002</c:v>
                </c:pt>
                <c:pt idx="69">
                  <c:v>-60960399.610399999</c:v>
                </c:pt>
                <c:pt idx="70">
                  <c:v>-55580925.9124</c:v>
                </c:pt>
                <c:pt idx="71">
                  <c:v>-49993961.456</c:v>
                </c:pt>
                <c:pt idx="72">
                  <c:v>-46465019.318099998</c:v>
                </c:pt>
                <c:pt idx="73">
                  <c:v>-43784007.748899996</c:v>
                </c:pt>
                <c:pt idx="74">
                  <c:v>-39991148.499600001</c:v>
                </c:pt>
                <c:pt idx="75">
                  <c:v>-36835051.375699997</c:v>
                </c:pt>
                <c:pt idx="76">
                  <c:v>-33265177.259599999</c:v>
                </c:pt>
                <c:pt idx="77">
                  <c:v>-30093762.533199999</c:v>
                </c:pt>
                <c:pt idx="78">
                  <c:v>-27067750.916999999</c:v>
                </c:pt>
                <c:pt idx="79">
                  <c:v>-24172979.138</c:v>
                </c:pt>
                <c:pt idx="80">
                  <c:v>-21291659.332199998</c:v>
                </c:pt>
                <c:pt idx="81">
                  <c:v>-18591536.1439</c:v>
                </c:pt>
                <c:pt idx="82">
                  <c:v>-15672563.642100001</c:v>
                </c:pt>
                <c:pt idx="83">
                  <c:v>-13118196.499500001</c:v>
                </c:pt>
                <c:pt idx="84">
                  <c:v>-10633316.3533</c:v>
                </c:pt>
                <c:pt idx="85">
                  <c:v>-9995070.7106400002</c:v>
                </c:pt>
                <c:pt idx="86">
                  <c:v>-7442084.2329299999</c:v>
                </c:pt>
                <c:pt idx="87">
                  <c:v>-5239665.65625</c:v>
                </c:pt>
                <c:pt idx="88">
                  <c:v>-3586956.41671</c:v>
                </c:pt>
                <c:pt idx="89">
                  <c:v>-2145129.1654400001</c:v>
                </c:pt>
                <c:pt idx="90">
                  <c:v>-892212.16175900004</c:v>
                </c:pt>
                <c:pt idx="91">
                  <c:v>542015.73755399999</c:v>
                </c:pt>
                <c:pt idx="92">
                  <c:v>2398832.8235200001</c:v>
                </c:pt>
                <c:pt idx="93">
                  <c:v>4338776.1520699998</c:v>
                </c:pt>
                <c:pt idx="94">
                  <c:v>6129430.2737699999</c:v>
                </c:pt>
                <c:pt idx="95">
                  <c:v>5783281.3696999997</c:v>
                </c:pt>
                <c:pt idx="96">
                  <c:v>6296613.1605000002</c:v>
                </c:pt>
                <c:pt idx="97">
                  <c:v>7475109.83452</c:v>
                </c:pt>
                <c:pt idx="98">
                  <c:v>8249516.31207</c:v>
                </c:pt>
                <c:pt idx="99">
                  <c:v>9434688.4039600007</c:v>
                </c:pt>
                <c:pt idx="100">
                  <c:v>10828242.2333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86700624"/>
        <c:axId val="1086702256"/>
      </c:scatterChart>
      <c:valAx>
        <c:axId val="10867006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6702256"/>
        <c:crosses val="autoZero"/>
        <c:crossBetween val="midCat"/>
      </c:valAx>
      <c:valAx>
        <c:axId val="1086702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67006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1"/>
          <c:order val="0"/>
          <c:tx>
            <c:strRef>
              <c:f>Sheet1!$E$1</c:f>
              <c:strCache>
                <c:ptCount val="1"/>
                <c:pt idx="0">
                  <c:v>LE11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Sheet1!$E$2:$E$1048576</c:f>
              <c:numCache>
                <c:formatCode>0.00E+00</c:formatCode>
                <c:ptCount val="1048575"/>
                <c:pt idx="0" formatCode="General">
                  <c:v>0</c:v>
                </c:pt>
                <c:pt idx="1">
                  <c:v>-3.06142974365E-4</c:v>
                </c:pt>
                <c:pt idx="2" formatCode="General">
                  <c:v>-6.1228594873000001E-4</c:v>
                </c:pt>
                <c:pt idx="3" formatCode="General">
                  <c:v>-9.1842892309499996E-4</c:v>
                </c:pt>
                <c:pt idx="4" formatCode="General">
                  <c:v>-1.22457189746E-3</c:v>
                </c:pt>
                <c:pt idx="5" formatCode="General">
                  <c:v>-1.5307148718199999E-3</c:v>
                </c:pt>
                <c:pt idx="6">
                  <c:v>-1.8562096639100001E-3</c:v>
                </c:pt>
                <c:pt idx="7" formatCode="General">
                  <c:v>-2.1819123621E-3</c:v>
                </c:pt>
                <c:pt idx="8" formatCode="General">
                  <c:v>-2.5076150602800001E-3</c:v>
                </c:pt>
                <c:pt idx="9" formatCode="General">
                  <c:v>-2.83331775847E-3</c:v>
                </c:pt>
                <c:pt idx="10">
                  <c:v>-3.15902045666E-3</c:v>
                </c:pt>
                <c:pt idx="11">
                  <c:v>-2.87554373821E-3</c:v>
                </c:pt>
                <c:pt idx="12" formatCode="General">
                  <c:v>-2.5684787456900001E-3</c:v>
                </c:pt>
                <c:pt idx="13">
                  <c:v>-2.26141375318E-3</c:v>
                </c:pt>
                <c:pt idx="14">
                  <c:v>-1.9543487606600001E-3</c:v>
                </c:pt>
                <c:pt idx="15" formatCode="General">
                  <c:v>-1.64728376815E-3</c:v>
                </c:pt>
                <c:pt idx="16" formatCode="General">
                  <c:v>-1.34112943496E-3</c:v>
                </c:pt>
                <c:pt idx="17">
                  <c:v>-1.0350224277E-3</c:v>
                </c:pt>
                <c:pt idx="18">
                  <c:v>-7.2891542044200002E-4</c:v>
                </c:pt>
                <c:pt idx="19" formatCode="General">
                  <c:v>-4.2280841318499999E-4</c:v>
                </c:pt>
                <c:pt idx="20">
                  <c:v>-1.16701405927E-4</c:v>
                </c:pt>
                <c:pt idx="21">
                  <c:v>1.90126617993E-4</c:v>
                </c:pt>
                <c:pt idx="22">
                  <c:v>4.9697013412499996E-4</c:v>
                </c:pt>
                <c:pt idx="23">
                  <c:v>8.0381365025599999E-4</c:v>
                </c:pt>
                <c:pt idx="24">
                  <c:v>1.11065716639E-3</c:v>
                </c:pt>
                <c:pt idx="25">
                  <c:v>1.4175006825200001E-3</c:v>
                </c:pt>
                <c:pt idx="26">
                  <c:v>1.83580762138E-3</c:v>
                </c:pt>
                <c:pt idx="27">
                  <c:v>2.2550173607200001E-3</c:v>
                </c:pt>
                <c:pt idx="28">
                  <c:v>2.6742271000600002E-3</c:v>
                </c:pt>
                <c:pt idx="29" formatCode="General">
                  <c:v>3.0934368393999998E-3</c:v>
                </c:pt>
                <c:pt idx="30">
                  <c:v>3.51264657873E-3</c:v>
                </c:pt>
                <c:pt idx="31" formatCode="General">
                  <c:v>3.9525439426E-3</c:v>
                </c:pt>
                <c:pt idx="32" formatCode="General">
                  <c:v>4.3928720003100002E-3</c:v>
                </c:pt>
                <c:pt idx="33" formatCode="General">
                  <c:v>4.8332000580300002E-3</c:v>
                </c:pt>
                <c:pt idx="34">
                  <c:v>5.2735281157399996E-3</c:v>
                </c:pt>
                <c:pt idx="35">
                  <c:v>5.7138561734599996E-3</c:v>
                </c:pt>
                <c:pt idx="36">
                  <c:v>6.1657215498100004E-3</c:v>
                </c:pt>
                <c:pt idx="37">
                  <c:v>6.61761339357E-3</c:v>
                </c:pt>
                <c:pt idx="38">
                  <c:v>7.0695052373299996E-3</c:v>
                </c:pt>
                <c:pt idx="39">
                  <c:v>7.5213970810900001E-3</c:v>
                </c:pt>
                <c:pt idx="40">
                  <c:v>7.9732889248500007E-3</c:v>
                </c:pt>
                <c:pt idx="41">
                  <c:v>8.4407515872199999E-3</c:v>
                </c:pt>
                <c:pt idx="42">
                  <c:v>8.9084578202999996E-3</c:v>
                </c:pt>
                <c:pt idx="43">
                  <c:v>9.3761640533700005E-3</c:v>
                </c:pt>
                <c:pt idx="44">
                  <c:v>9.8438702864500002E-3</c:v>
                </c:pt>
                <c:pt idx="45">
                  <c:v>1.03115765195E-2</c:v>
                </c:pt>
                <c:pt idx="46">
                  <c:v>1.0805307956199999E-2</c:v>
                </c:pt>
                <c:pt idx="47">
                  <c:v>1.12990901235E-2</c:v>
                </c:pt>
                <c:pt idx="48">
                  <c:v>1.17928722909E-2</c:v>
                </c:pt>
                <c:pt idx="49">
                  <c:v>1.22866544582E-2</c:v>
                </c:pt>
                <c:pt idx="50">
                  <c:v>1.27804366255E-2</c:v>
                </c:pt>
                <c:pt idx="51">
                  <c:v>1.3324670294800001E-2</c:v>
                </c:pt>
                <c:pt idx="52">
                  <c:v>1.3869059611499999E-2</c:v>
                </c:pt>
                <c:pt idx="53">
                  <c:v>1.44134489282E-2</c:v>
                </c:pt>
                <c:pt idx="54">
                  <c:v>1.4957838244900001E-2</c:v>
                </c:pt>
                <c:pt idx="55">
                  <c:v>1.55022275616E-2</c:v>
                </c:pt>
                <c:pt idx="56">
                  <c:v>1.6105985652299998E-2</c:v>
                </c:pt>
                <c:pt idx="57">
                  <c:v>1.6709803819300002E-2</c:v>
                </c:pt>
                <c:pt idx="58">
                  <c:v>1.7313621986300001E-2</c:v>
                </c:pt>
                <c:pt idx="59">
                  <c:v>1.7917440153300001E-2</c:v>
                </c:pt>
                <c:pt idx="60">
                  <c:v>1.8521258320300001E-2</c:v>
                </c:pt>
                <c:pt idx="61">
                  <c:v>1.8232248336000002E-2</c:v>
                </c:pt>
                <c:pt idx="62">
                  <c:v>1.7920035666199999E-2</c:v>
                </c:pt>
                <c:pt idx="63">
                  <c:v>1.7607822996499999E-2</c:v>
                </c:pt>
                <c:pt idx="64">
                  <c:v>1.72956103267E-2</c:v>
                </c:pt>
                <c:pt idx="65">
                  <c:v>1.6983397657E-2</c:v>
                </c:pt>
                <c:pt idx="66">
                  <c:v>1.6671906091599999E-2</c:v>
                </c:pt>
                <c:pt idx="67">
                  <c:v>1.6360424051300001E-2</c:v>
                </c:pt>
                <c:pt idx="68">
                  <c:v>1.60489420109E-2</c:v>
                </c:pt>
                <c:pt idx="69">
                  <c:v>1.5737459970599998E-2</c:v>
                </c:pt>
                <c:pt idx="70">
                  <c:v>1.5425977930200001E-2</c:v>
                </c:pt>
                <c:pt idx="71">
                  <c:v>1.5115229209799999E-2</c:v>
                </c:pt>
                <c:pt idx="72">
                  <c:v>1.4804485978E-2</c:v>
                </c:pt>
                <c:pt idx="73">
                  <c:v>1.44937427463E-2</c:v>
                </c:pt>
                <c:pt idx="74">
                  <c:v>1.41829995145E-2</c:v>
                </c:pt>
                <c:pt idx="75">
                  <c:v>1.38722562828E-2</c:v>
                </c:pt>
                <c:pt idx="76">
                  <c:v>1.35623146369E-2</c:v>
                </c:pt>
                <c:pt idx="77">
                  <c:v>1.32523744538E-2</c:v>
                </c:pt>
                <c:pt idx="78">
                  <c:v>1.29424342707E-2</c:v>
                </c:pt>
                <c:pt idx="79">
                  <c:v>1.2632494087599999E-2</c:v>
                </c:pt>
                <c:pt idx="80">
                  <c:v>1.2322553904499999E-2</c:v>
                </c:pt>
                <c:pt idx="81">
                  <c:v>1.2013374692100001E-2</c:v>
                </c:pt>
                <c:pt idx="82">
                  <c:v>1.17042014776E-2</c:v>
                </c:pt>
                <c:pt idx="83">
                  <c:v>1.1395028263E-2</c:v>
                </c:pt>
                <c:pt idx="84">
                  <c:v>1.10858550485E-2</c:v>
                </c:pt>
                <c:pt idx="85">
                  <c:v>1.0776681833899999E-2</c:v>
                </c:pt>
                <c:pt idx="86">
                  <c:v>1.0458201353300001E-2</c:v>
                </c:pt>
                <c:pt idx="87">
                  <c:v>1.01394945748E-2</c:v>
                </c:pt>
                <c:pt idx="88">
                  <c:v>9.82078779639E-3</c:v>
                </c:pt>
                <c:pt idx="89">
                  <c:v>9.5020810179600006E-3</c:v>
                </c:pt>
                <c:pt idx="90">
                  <c:v>9.1833742395299994E-3</c:v>
                </c:pt>
                <c:pt idx="91">
                  <c:v>8.8592507843500007E-3</c:v>
                </c:pt>
                <c:pt idx="92">
                  <c:v>8.5350714858400002E-3</c:v>
                </c:pt>
                <c:pt idx="93">
                  <c:v>8.2108921873299996E-3</c:v>
                </c:pt>
                <c:pt idx="94">
                  <c:v>7.8867128888299998E-3</c:v>
                </c:pt>
                <c:pt idx="95">
                  <c:v>7.5625335903200001E-3</c:v>
                </c:pt>
                <c:pt idx="96">
                  <c:v>7.19896596811E-3</c:v>
                </c:pt>
                <c:pt idx="97">
                  <c:v>6.83525962488E-3</c:v>
                </c:pt>
                <c:pt idx="98">
                  <c:v>6.4715532816499999E-3</c:v>
                </c:pt>
                <c:pt idx="99">
                  <c:v>6.1078469384299996E-3</c:v>
                </c:pt>
                <c:pt idx="100">
                  <c:v>5.7441405952000004E-3</c:v>
                </c:pt>
              </c:numCache>
            </c:numRef>
          </c:xVal>
          <c:yVal>
            <c:numRef>
              <c:f>Sheet1!$B$2:$B$1048576</c:f>
              <c:numCache>
                <c:formatCode>General</c:formatCode>
                <c:ptCount val="1048575"/>
                <c:pt idx="0">
                  <c:v>0</c:v>
                </c:pt>
                <c:pt idx="1">
                  <c:v>-1249.18269465</c:v>
                </c:pt>
                <c:pt idx="2">
                  <c:v>-2498.3653893000001</c:v>
                </c:pt>
                <c:pt idx="3">
                  <c:v>-3747.5480839500001</c:v>
                </c:pt>
                <c:pt idx="4">
                  <c:v>-4996.7307786000001</c:v>
                </c:pt>
                <c:pt idx="5">
                  <c:v>-6245.9134732499997</c:v>
                </c:pt>
                <c:pt idx="6">
                  <c:v>-18067.844198800001</c:v>
                </c:pt>
                <c:pt idx="7">
                  <c:v>-30003.363159</c:v>
                </c:pt>
                <c:pt idx="8">
                  <c:v>-41938.882119100002</c:v>
                </c:pt>
                <c:pt idx="9">
                  <c:v>-53874.401079299998</c:v>
                </c:pt>
                <c:pt idx="10">
                  <c:v>-65809.920039400007</c:v>
                </c:pt>
                <c:pt idx="11">
                  <c:v>-53509.660081299997</c:v>
                </c:pt>
                <c:pt idx="12">
                  <c:v>-40270.957063900001</c:v>
                </c:pt>
                <c:pt idx="13">
                  <c:v>-27032.254046499998</c:v>
                </c:pt>
                <c:pt idx="14">
                  <c:v>-13793.551029099999</c:v>
                </c:pt>
                <c:pt idx="15">
                  <c:v>-554.84801166499994</c:v>
                </c:pt>
                <c:pt idx="16">
                  <c:v>1155.900605</c:v>
                </c:pt>
                <c:pt idx="17">
                  <c:v>2267.5580349000002</c:v>
                </c:pt>
                <c:pt idx="18">
                  <c:v>3379.21546481</c:v>
                </c:pt>
                <c:pt idx="19">
                  <c:v>4490.8728947199997</c:v>
                </c:pt>
                <c:pt idx="20">
                  <c:v>5602.53032463</c:v>
                </c:pt>
                <c:pt idx="21">
                  <c:v>5778.7763861200001</c:v>
                </c:pt>
                <c:pt idx="22">
                  <c:v>5934.9622882200001</c:v>
                </c:pt>
                <c:pt idx="23">
                  <c:v>6091.1481903200001</c:v>
                </c:pt>
                <c:pt idx="24">
                  <c:v>6247.3340924200002</c:v>
                </c:pt>
                <c:pt idx="25">
                  <c:v>6403.5199945200002</c:v>
                </c:pt>
                <c:pt idx="26">
                  <c:v>5726.2887358099997</c:v>
                </c:pt>
                <c:pt idx="27">
                  <c:v>5042.30697685</c:v>
                </c:pt>
                <c:pt idx="28">
                  <c:v>4358.3252178900002</c:v>
                </c:pt>
                <c:pt idx="29">
                  <c:v>3674.34345893</c:v>
                </c:pt>
                <c:pt idx="30">
                  <c:v>2990.3616999800001</c:v>
                </c:pt>
                <c:pt idx="31">
                  <c:v>2778.18416183</c:v>
                </c:pt>
                <c:pt idx="32">
                  <c:v>2575.8290746799998</c:v>
                </c:pt>
                <c:pt idx="33">
                  <c:v>2373.4739875199998</c:v>
                </c:pt>
                <c:pt idx="34">
                  <c:v>2171.1189003700001</c:v>
                </c:pt>
                <c:pt idx="35">
                  <c:v>1968.76381322</c:v>
                </c:pt>
                <c:pt idx="36">
                  <c:v>1500.9146392</c:v>
                </c:pt>
                <c:pt idx="37">
                  <c:v>1032.4564034099999</c:v>
                </c:pt>
                <c:pt idx="38">
                  <c:v>563.99816762099999</c:v>
                </c:pt>
                <c:pt idx="39">
                  <c:v>95.539931831000004</c:v>
                </c:pt>
                <c:pt idx="40">
                  <c:v>-372.91830395900001</c:v>
                </c:pt>
                <c:pt idx="41">
                  <c:v>-41.639335581300003</c:v>
                </c:pt>
                <c:pt idx="42">
                  <c:v>302.14973603599998</c:v>
                </c:pt>
                <c:pt idx="43">
                  <c:v>645.93880765300003</c:v>
                </c:pt>
                <c:pt idx="44">
                  <c:v>989.72787927000002</c:v>
                </c:pt>
                <c:pt idx="45">
                  <c:v>1333.5169508900001</c:v>
                </c:pt>
                <c:pt idx="46">
                  <c:v>1056.59089098</c:v>
                </c:pt>
                <c:pt idx="47">
                  <c:v>778.45487855500005</c:v>
                </c:pt>
                <c:pt idx="48">
                  <c:v>500.31886612900001</c:v>
                </c:pt>
                <c:pt idx="49">
                  <c:v>222.182853704</c:v>
                </c:pt>
                <c:pt idx="50">
                  <c:v>-55.953158721900003</c:v>
                </c:pt>
                <c:pt idx="51">
                  <c:v>2079.8708808199999</c:v>
                </c:pt>
                <c:pt idx="52">
                  <c:v>4223.1422535199999</c:v>
                </c:pt>
                <c:pt idx="53">
                  <c:v>6366.4136262299999</c:v>
                </c:pt>
                <c:pt idx="54">
                  <c:v>8509.6849989300008</c:v>
                </c:pt>
                <c:pt idx="55">
                  <c:v>10652.956371599999</c:v>
                </c:pt>
                <c:pt idx="56">
                  <c:v>38338.211722599997</c:v>
                </c:pt>
                <c:pt idx="57">
                  <c:v>66049.313406200003</c:v>
                </c:pt>
                <c:pt idx="58">
                  <c:v>93760.415089899994</c:v>
                </c:pt>
                <c:pt idx="59">
                  <c:v>121471.516773</c:v>
                </c:pt>
                <c:pt idx="60">
                  <c:v>149182.618457</c:v>
                </c:pt>
                <c:pt idx="61">
                  <c:v>119412.96152300001</c:v>
                </c:pt>
                <c:pt idx="62">
                  <c:v>88149.501167199996</c:v>
                </c:pt>
                <c:pt idx="63">
                  <c:v>56886.040811799998</c:v>
                </c:pt>
                <c:pt idx="64">
                  <c:v>25622.580456399999</c:v>
                </c:pt>
                <c:pt idx="65">
                  <c:v>-5640.8798989699999</c:v>
                </c:pt>
                <c:pt idx="66">
                  <c:v>-6039.0178764599996</c:v>
                </c:pt>
                <c:pt idx="67">
                  <c:v>-6029.4609667799996</c:v>
                </c:pt>
                <c:pt idx="68">
                  <c:v>-6019.9040570999996</c:v>
                </c:pt>
                <c:pt idx="69">
                  <c:v>-6010.3471474199996</c:v>
                </c:pt>
                <c:pt idx="70">
                  <c:v>-6000.7902377399996</c:v>
                </c:pt>
                <c:pt idx="71">
                  <c:v>-5998.3407981399996</c:v>
                </c:pt>
                <c:pt idx="72">
                  <c:v>-5995.9445560100003</c:v>
                </c:pt>
                <c:pt idx="73">
                  <c:v>-5993.5483138899999</c:v>
                </c:pt>
                <c:pt idx="74">
                  <c:v>-5991.1520717699996</c:v>
                </c:pt>
                <c:pt idx="75">
                  <c:v>-5988.7558296400002</c:v>
                </c:pt>
                <c:pt idx="76">
                  <c:v>-5986.98776017</c:v>
                </c:pt>
                <c:pt idx="77">
                  <c:v>-5985.2208370199996</c:v>
                </c:pt>
                <c:pt idx="78">
                  <c:v>-5983.4539138700002</c:v>
                </c:pt>
                <c:pt idx="79">
                  <c:v>-5981.6869907199998</c:v>
                </c:pt>
                <c:pt idx="80">
                  <c:v>-5979.9200675700004</c:v>
                </c:pt>
                <c:pt idx="81">
                  <c:v>-5193.0976586899997</c:v>
                </c:pt>
                <c:pt idx="82">
                  <c:v>-4400.0876263099999</c:v>
                </c:pt>
                <c:pt idx="83">
                  <c:v>-3607.0775939300001</c:v>
                </c:pt>
                <c:pt idx="84">
                  <c:v>-2814.0675615499999</c:v>
                </c:pt>
                <c:pt idx="85">
                  <c:v>-2021.05752917</c:v>
                </c:pt>
                <c:pt idx="86">
                  <c:v>-2379.8384351999998</c:v>
                </c:pt>
                <c:pt idx="87">
                  <c:v>-2766.62422208</c:v>
                </c:pt>
                <c:pt idx="88">
                  <c:v>-3153.4100089600001</c:v>
                </c:pt>
                <c:pt idx="89">
                  <c:v>-3540.1957958399998</c:v>
                </c:pt>
                <c:pt idx="90">
                  <c:v>-3926.98158272</c:v>
                </c:pt>
                <c:pt idx="91">
                  <c:v>-3571.71901088</c:v>
                </c:pt>
                <c:pt idx="92">
                  <c:v>-3208.8062790700001</c:v>
                </c:pt>
                <c:pt idx="93">
                  <c:v>-2845.8935472500002</c:v>
                </c:pt>
                <c:pt idx="94">
                  <c:v>-2482.9808154399998</c:v>
                </c:pt>
                <c:pt idx="95">
                  <c:v>-2120.0680836199999</c:v>
                </c:pt>
                <c:pt idx="96">
                  <c:v>-2124.1665534799999</c:v>
                </c:pt>
                <c:pt idx="97">
                  <c:v>-2129.5575933300001</c:v>
                </c:pt>
                <c:pt idx="98">
                  <c:v>-2134.9486331799999</c:v>
                </c:pt>
                <c:pt idx="99">
                  <c:v>-2140.33967304</c:v>
                </c:pt>
                <c:pt idx="100">
                  <c:v>-2145.7307128900002</c:v>
                </c:pt>
              </c:numCache>
            </c:numRef>
          </c:yVal>
          <c:smooth val="1"/>
        </c:ser>
        <c:ser>
          <c:idx val="0"/>
          <c:order val="1"/>
          <c:tx>
            <c:strRef>
              <c:f>Sheet2!$H$1</c:f>
              <c:strCache>
                <c:ptCount val="1"/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Sheet2!$E$2:$E$102</c:f>
              <c:numCache>
                <c:formatCode>0.00E+00</c:formatCode>
                <c:ptCount val="101"/>
                <c:pt idx="0" formatCode="General">
                  <c:v>0</c:v>
                </c:pt>
                <c:pt idx="1">
                  <c:v>-7.6230890425499996E-5</c:v>
                </c:pt>
                <c:pt idx="2" formatCode="General">
                  <c:v>-2.2878039335500001E-4</c:v>
                </c:pt>
                <c:pt idx="3" formatCode="General">
                  <c:v>-4.2606696391100002E-4</c:v>
                </c:pt>
                <c:pt idx="4" formatCode="General">
                  <c:v>-6.1168886354500004E-4</c:v>
                </c:pt>
                <c:pt idx="5" formatCode="General">
                  <c:v>-8.1731610884499997E-4</c:v>
                </c:pt>
                <c:pt idx="6" formatCode="General">
                  <c:v>-1.07278698678E-3</c:v>
                </c:pt>
                <c:pt idx="7" formatCode="General">
                  <c:v>-1.17936992042E-3</c:v>
                </c:pt>
                <c:pt idx="8" formatCode="General">
                  <c:v>-1.2601048181399999E-3</c:v>
                </c:pt>
                <c:pt idx="9" formatCode="General">
                  <c:v>-1.29154071498E-3</c:v>
                </c:pt>
                <c:pt idx="10">
                  <c:v>-1.33858575355E-3</c:v>
                </c:pt>
                <c:pt idx="11">
                  <c:v>-1.2767811547800001E-3</c:v>
                </c:pt>
                <c:pt idx="12" formatCode="General">
                  <c:v>-1.1724425164799999E-3</c:v>
                </c:pt>
                <c:pt idx="13" formatCode="General">
                  <c:v>-1.0508604562099999E-3</c:v>
                </c:pt>
                <c:pt idx="14" formatCode="General">
                  <c:v>-9.1754547737499996E-4</c:v>
                </c:pt>
                <c:pt idx="15" formatCode="General">
                  <c:v>-7.8210075579899997E-4</c:v>
                </c:pt>
                <c:pt idx="16">
                  <c:v>-6.5616649937699995E-4</c:v>
                </c:pt>
                <c:pt idx="17">
                  <c:v>-5.2395778134599997E-4</c:v>
                </c:pt>
                <c:pt idx="18">
                  <c:v>-3.9215770754099998E-4</c:v>
                </c:pt>
                <c:pt idx="19">
                  <c:v>-2.5104437050599998E-4</c:v>
                </c:pt>
                <c:pt idx="20">
                  <c:v>-1.13476822612E-4</c:v>
                </c:pt>
                <c:pt idx="21">
                  <c:v>4.7281906149800001E-5</c:v>
                </c:pt>
                <c:pt idx="22">
                  <c:v>2.33663482447E-4</c:v>
                </c:pt>
                <c:pt idx="23">
                  <c:v>4.5926790004999999E-4</c:v>
                </c:pt>
                <c:pt idx="24">
                  <c:v>6.9337181136600002E-4</c:v>
                </c:pt>
                <c:pt idx="25">
                  <c:v>9.1421305839300005E-4</c:v>
                </c:pt>
                <c:pt idx="26">
                  <c:v>1.16549453893E-3</c:v>
                </c:pt>
                <c:pt idx="27">
                  <c:v>1.4128661555100001E-3</c:v>
                </c:pt>
                <c:pt idx="28">
                  <c:v>1.82821495923E-3</c:v>
                </c:pt>
                <c:pt idx="29">
                  <c:v>2.1343358957400002E-3</c:v>
                </c:pt>
                <c:pt idx="30">
                  <c:v>2.4148998621399999E-3</c:v>
                </c:pt>
                <c:pt idx="31">
                  <c:v>2.8302765658300001E-3</c:v>
                </c:pt>
                <c:pt idx="32">
                  <c:v>3.1647635417900001E-3</c:v>
                </c:pt>
                <c:pt idx="33">
                  <c:v>3.4419597558100002E-3</c:v>
                </c:pt>
                <c:pt idx="34">
                  <c:v>3.7689702522400001E-3</c:v>
                </c:pt>
                <c:pt idx="35">
                  <c:v>4.11554285962E-3</c:v>
                </c:pt>
                <c:pt idx="36">
                  <c:v>4.5275295909399998E-3</c:v>
                </c:pt>
                <c:pt idx="37">
                  <c:v>4.9663214609499996E-3</c:v>
                </c:pt>
                <c:pt idx="38">
                  <c:v>5.6753663602000003E-3</c:v>
                </c:pt>
                <c:pt idx="39">
                  <c:v>6.1315348934300002E-3</c:v>
                </c:pt>
                <c:pt idx="40">
                  <c:v>6.7191724976599998E-3</c:v>
                </c:pt>
                <c:pt idx="41">
                  <c:v>7.4250620455599999E-3</c:v>
                </c:pt>
                <c:pt idx="42">
                  <c:v>8.0757762908099991E-3</c:v>
                </c:pt>
                <c:pt idx="43">
                  <c:v>9.5302174801399995E-3</c:v>
                </c:pt>
                <c:pt idx="44">
                  <c:v>1.0893848445500001E-2</c:v>
                </c:pt>
                <c:pt idx="45">
                  <c:v>1.16599602941E-2</c:v>
                </c:pt>
                <c:pt idx="46">
                  <c:v>1.2474706499600001E-2</c:v>
                </c:pt>
                <c:pt idx="47">
                  <c:v>1.32676457985E-2</c:v>
                </c:pt>
                <c:pt idx="48">
                  <c:v>1.3921120410299999E-2</c:v>
                </c:pt>
                <c:pt idx="49">
                  <c:v>1.46929480405E-2</c:v>
                </c:pt>
                <c:pt idx="50">
                  <c:v>1.6095921910000002E-2</c:v>
                </c:pt>
                <c:pt idx="51">
                  <c:v>1.7769418630800001E-2</c:v>
                </c:pt>
                <c:pt idx="52">
                  <c:v>1.8794946966400002E-2</c:v>
                </c:pt>
                <c:pt idx="53">
                  <c:v>1.9710205935299999E-2</c:v>
                </c:pt>
                <c:pt idx="54">
                  <c:v>2.05867090893E-2</c:v>
                </c:pt>
                <c:pt idx="55">
                  <c:v>2.1610486094799999E-2</c:v>
                </c:pt>
                <c:pt idx="56">
                  <c:v>2.2578453851100001E-2</c:v>
                </c:pt>
                <c:pt idx="57">
                  <c:v>2.37739152526E-2</c:v>
                </c:pt>
                <c:pt idx="58">
                  <c:v>2.4780463438399999E-2</c:v>
                </c:pt>
                <c:pt idx="59">
                  <c:v>2.5664815318900001E-2</c:v>
                </c:pt>
                <c:pt idx="60">
                  <c:v>2.7056376431199999E-2</c:v>
                </c:pt>
                <c:pt idx="61">
                  <c:v>2.8175839417800001E-2</c:v>
                </c:pt>
                <c:pt idx="62">
                  <c:v>2.9011921428199999E-2</c:v>
                </c:pt>
                <c:pt idx="63">
                  <c:v>2.9384192993800001E-2</c:v>
                </c:pt>
                <c:pt idx="64">
                  <c:v>2.96279928176E-2</c:v>
                </c:pt>
                <c:pt idx="65">
                  <c:v>2.9781953205299999E-2</c:v>
                </c:pt>
                <c:pt idx="66">
                  <c:v>2.9882190189700002E-2</c:v>
                </c:pt>
                <c:pt idx="67">
                  <c:v>2.9981618326699998E-2</c:v>
                </c:pt>
                <c:pt idx="68">
                  <c:v>3.0213411731599998E-2</c:v>
                </c:pt>
                <c:pt idx="69">
                  <c:v>3.03915594112E-2</c:v>
                </c:pt>
                <c:pt idx="70">
                  <c:v>3.05162334068E-2</c:v>
                </c:pt>
                <c:pt idx="71">
                  <c:v>3.05908514886E-2</c:v>
                </c:pt>
                <c:pt idx="72">
                  <c:v>3.06462125446E-2</c:v>
                </c:pt>
                <c:pt idx="73">
                  <c:v>3.0741406271499998E-2</c:v>
                </c:pt>
                <c:pt idx="74">
                  <c:v>3.0804713884700002E-2</c:v>
                </c:pt>
                <c:pt idx="75">
                  <c:v>3.08197036409E-2</c:v>
                </c:pt>
                <c:pt idx="76">
                  <c:v>3.0793345192099999E-2</c:v>
                </c:pt>
                <c:pt idx="77">
                  <c:v>3.07452312826E-2</c:v>
                </c:pt>
                <c:pt idx="78">
                  <c:v>3.0679460877299999E-2</c:v>
                </c:pt>
                <c:pt idx="79">
                  <c:v>3.0575158412000002E-2</c:v>
                </c:pt>
                <c:pt idx="80">
                  <c:v>3.03918748609E-2</c:v>
                </c:pt>
                <c:pt idx="81">
                  <c:v>3.0197877076599999E-2</c:v>
                </c:pt>
                <c:pt idx="82">
                  <c:v>3.0015200471400001E-2</c:v>
                </c:pt>
                <c:pt idx="83">
                  <c:v>2.98959439471E-2</c:v>
                </c:pt>
                <c:pt idx="84">
                  <c:v>2.9805905621500001E-2</c:v>
                </c:pt>
                <c:pt idx="85">
                  <c:v>2.9718955130099999E-2</c:v>
                </c:pt>
                <c:pt idx="86">
                  <c:v>2.9564065926499999E-2</c:v>
                </c:pt>
                <c:pt idx="87">
                  <c:v>2.9470070147999999E-2</c:v>
                </c:pt>
                <c:pt idx="88">
                  <c:v>2.9470895990900001E-2</c:v>
                </c:pt>
                <c:pt idx="89">
                  <c:v>2.9528810554100001E-2</c:v>
                </c:pt>
                <c:pt idx="90">
                  <c:v>2.9522070839900001E-2</c:v>
                </c:pt>
                <c:pt idx="91">
                  <c:v>2.9535163287799999E-2</c:v>
                </c:pt>
                <c:pt idx="92">
                  <c:v>2.9498861105899998E-2</c:v>
                </c:pt>
                <c:pt idx="93">
                  <c:v>2.9483652853799999E-2</c:v>
                </c:pt>
                <c:pt idx="94">
                  <c:v>2.9377373995100001E-2</c:v>
                </c:pt>
                <c:pt idx="95">
                  <c:v>2.9098708887400002E-2</c:v>
                </c:pt>
                <c:pt idx="96">
                  <c:v>2.8888494449300001E-2</c:v>
                </c:pt>
                <c:pt idx="97">
                  <c:v>2.8747886828600001E-2</c:v>
                </c:pt>
                <c:pt idx="98">
                  <c:v>2.8578745292E-2</c:v>
                </c:pt>
                <c:pt idx="99">
                  <c:v>2.8468810629500001E-2</c:v>
                </c:pt>
                <c:pt idx="100">
                  <c:v>2.8363974022099999E-2</c:v>
                </c:pt>
              </c:numCache>
            </c:numRef>
          </c:xVal>
          <c:yVal>
            <c:numRef>
              <c:f>Sheet2!$B$2:$B$102</c:f>
              <c:numCache>
                <c:formatCode>General</c:formatCode>
                <c:ptCount val="101"/>
                <c:pt idx="0">
                  <c:v>0</c:v>
                </c:pt>
                <c:pt idx="1">
                  <c:v>2404823.3750100001</c:v>
                </c:pt>
                <c:pt idx="2">
                  <c:v>3817876.0326399999</c:v>
                </c:pt>
                <c:pt idx="3">
                  <c:v>4541478.8212900003</c:v>
                </c:pt>
                <c:pt idx="4">
                  <c:v>5099497.7541500004</c:v>
                </c:pt>
                <c:pt idx="5">
                  <c:v>5556670.1805600002</c:v>
                </c:pt>
                <c:pt idx="6">
                  <c:v>5245575.6070800005</c:v>
                </c:pt>
                <c:pt idx="7">
                  <c:v>2573959.61038</c:v>
                </c:pt>
                <c:pt idx="8">
                  <c:v>1974807.29544</c:v>
                </c:pt>
                <c:pt idx="9">
                  <c:v>2933113.35622</c:v>
                </c:pt>
                <c:pt idx="10">
                  <c:v>3342884.3778400002</c:v>
                </c:pt>
                <c:pt idx="11">
                  <c:v>-139939.463254</c:v>
                </c:pt>
                <c:pt idx="12">
                  <c:v>-1022693.82739</c:v>
                </c:pt>
                <c:pt idx="13">
                  <c:v>-1602921.2039399999</c:v>
                </c:pt>
                <c:pt idx="14">
                  <c:v>-1968493.93759</c:v>
                </c:pt>
                <c:pt idx="15">
                  <c:v>-2245427.7376700002</c:v>
                </c:pt>
                <c:pt idx="16">
                  <c:v>-2428426.08317</c:v>
                </c:pt>
                <c:pt idx="17">
                  <c:v>-2664189.2787299999</c:v>
                </c:pt>
                <c:pt idx="18">
                  <c:v>-2897832.73752</c:v>
                </c:pt>
                <c:pt idx="19">
                  <c:v>-3180150.5523899999</c:v>
                </c:pt>
                <c:pt idx="20">
                  <c:v>-3489586.1220200001</c:v>
                </c:pt>
                <c:pt idx="21">
                  <c:v>-3942749.2944700001</c:v>
                </c:pt>
                <c:pt idx="22">
                  <c:v>-4434849.7595699998</c:v>
                </c:pt>
                <c:pt idx="23">
                  <c:v>-4703705.8782799998</c:v>
                </c:pt>
                <c:pt idx="24">
                  <c:v>-4850302.6675300002</c:v>
                </c:pt>
                <c:pt idx="25">
                  <c:v>-5096559.5459899995</c:v>
                </c:pt>
                <c:pt idx="26">
                  <c:v>-5314780.8785199998</c:v>
                </c:pt>
                <c:pt idx="27">
                  <c:v>-5379242.3124700002</c:v>
                </c:pt>
                <c:pt idx="28">
                  <c:v>-5789557.4312399998</c:v>
                </c:pt>
                <c:pt idx="29">
                  <c:v>-5650006.1789699998</c:v>
                </c:pt>
                <c:pt idx="30">
                  <c:v>-5512174.5288699996</c:v>
                </c:pt>
                <c:pt idx="31">
                  <c:v>-6969832.7620099997</c:v>
                </c:pt>
                <c:pt idx="32">
                  <c:v>-6558674.4830299998</c:v>
                </c:pt>
                <c:pt idx="33">
                  <c:v>-6604702.3587699998</c:v>
                </c:pt>
                <c:pt idx="34">
                  <c:v>-7864010.6436299998</c:v>
                </c:pt>
                <c:pt idx="35">
                  <c:v>-7346281.5370500004</c:v>
                </c:pt>
                <c:pt idx="36">
                  <c:v>-8680953.8213</c:v>
                </c:pt>
                <c:pt idx="37">
                  <c:v>-8840566.6336000003</c:v>
                </c:pt>
                <c:pt idx="38">
                  <c:v>-7699593.7522999998</c:v>
                </c:pt>
                <c:pt idx="39">
                  <c:v>-7432310.6343099996</c:v>
                </c:pt>
                <c:pt idx="40">
                  <c:v>-7573906.6182399997</c:v>
                </c:pt>
                <c:pt idx="41">
                  <c:v>-7832411.2282400001</c:v>
                </c:pt>
                <c:pt idx="42">
                  <c:v>-8807993.6346199997</c:v>
                </c:pt>
                <c:pt idx="43">
                  <c:v>-12358273.630100001</c:v>
                </c:pt>
                <c:pt idx="44">
                  <c:v>-9959830.2794499993</c:v>
                </c:pt>
                <c:pt idx="45">
                  <c:v>-9355233.0536400005</c:v>
                </c:pt>
                <c:pt idx="46">
                  <c:v>-9000234.7547200006</c:v>
                </c:pt>
                <c:pt idx="47">
                  <c:v>-10924274.330700001</c:v>
                </c:pt>
                <c:pt idx="48">
                  <c:v>-11165636.5085</c:v>
                </c:pt>
                <c:pt idx="49">
                  <c:v>-11834353.4779</c:v>
                </c:pt>
                <c:pt idx="50">
                  <c:v>-11076873.018200001</c:v>
                </c:pt>
                <c:pt idx="51">
                  <c:v>-11256318.215600001</c:v>
                </c:pt>
                <c:pt idx="52">
                  <c:v>-11900186.4438</c:v>
                </c:pt>
                <c:pt idx="53">
                  <c:v>-10877017.017200001</c:v>
                </c:pt>
                <c:pt idx="54">
                  <c:v>-10708988.828</c:v>
                </c:pt>
                <c:pt idx="55">
                  <c:v>-10566207.604900001</c:v>
                </c:pt>
                <c:pt idx="56">
                  <c:v>-10011048.4739</c:v>
                </c:pt>
                <c:pt idx="57">
                  <c:v>-11151264.3463</c:v>
                </c:pt>
                <c:pt idx="58">
                  <c:v>-10441624.8517</c:v>
                </c:pt>
                <c:pt idx="59">
                  <c:v>-12809839.2521</c:v>
                </c:pt>
                <c:pt idx="60">
                  <c:v>-11564174.982999999</c:v>
                </c:pt>
                <c:pt idx="61">
                  <c:v>-8437667.1741000004</c:v>
                </c:pt>
                <c:pt idx="62">
                  <c:v>-6766333.8373600002</c:v>
                </c:pt>
                <c:pt idx="63">
                  <c:v>-4825058.7269799998</c:v>
                </c:pt>
                <c:pt idx="64">
                  <c:v>-3712276.99027</c:v>
                </c:pt>
                <c:pt idx="65">
                  <c:v>-2474505.7362199998</c:v>
                </c:pt>
                <c:pt idx="66">
                  <c:v>-1549860.0345399999</c:v>
                </c:pt>
                <c:pt idx="67">
                  <c:v>-1018201.4934</c:v>
                </c:pt>
                <c:pt idx="68">
                  <c:v>-1789230.11057</c:v>
                </c:pt>
                <c:pt idx="69">
                  <c:v>-1263659.2511700001</c:v>
                </c:pt>
                <c:pt idx="70">
                  <c:v>-767930.74781800003</c:v>
                </c:pt>
                <c:pt idx="71">
                  <c:v>87725.923064999995</c:v>
                </c:pt>
                <c:pt idx="72">
                  <c:v>82986.601068100004</c:v>
                </c:pt>
                <c:pt idx="73">
                  <c:v>14056.1530948</c:v>
                </c:pt>
                <c:pt idx="74">
                  <c:v>379266.28939400002</c:v>
                </c:pt>
                <c:pt idx="75">
                  <c:v>646248.55617400003</c:v>
                </c:pt>
                <c:pt idx="76">
                  <c:v>1170420.5730699999</c:v>
                </c:pt>
                <c:pt idx="77">
                  <c:v>1537861.6526599999</c:v>
                </c:pt>
                <c:pt idx="78">
                  <c:v>1886679.4832200001</c:v>
                </c:pt>
                <c:pt idx="79">
                  <c:v>2241973.6848399998</c:v>
                </c:pt>
                <c:pt idx="80">
                  <c:v>2588067.62365</c:v>
                </c:pt>
                <c:pt idx="81">
                  <c:v>2752908.6293600001</c:v>
                </c:pt>
                <c:pt idx="82">
                  <c:v>3002608.8765400001</c:v>
                </c:pt>
                <c:pt idx="83">
                  <c:v>3012234.1420900002</c:v>
                </c:pt>
                <c:pt idx="84">
                  <c:v>3078255.1255999999</c:v>
                </c:pt>
                <c:pt idx="85">
                  <c:v>2397093.8912999998</c:v>
                </c:pt>
                <c:pt idx="86">
                  <c:v>2556238.50783</c:v>
                </c:pt>
                <c:pt idx="87">
                  <c:v>2298146.49285</c:v>
                </c:pt>
                <c:pt idx="88">
                  <c:v>1911973.50449</c:v>
                </c:pt>
                <c:pt idx="89">
                  <c:v>1783170.8616899999</c:v>
                </c:pt>
                <c:pt idx="90">
                  <c:v>1665495.06317</c:v>
                </c:pt>
                <c:pt idx="91">
                  <c:v>1639970.5614199999</c:v>
                </c:pt>
                <c:pt idx="92">
                  <c:v>1694253.2261600001</c:v>
                </c:pt>
                <c:pt idx="93">
                  <c:v>1878824.8033100001</c:v>
                </c:pt>
                <c:pt idx="94">
                  <c:v>1916759.4892599999</c:v>
                </c:pt>
                <c:pt idx="95">
                  <c:v>1624791.42078</c:v>
                </c:pt>
                <c:pt idx="96">
                  <c:v>1495301.8518300001</c:v>
                </c:pt>
                <c:pt idx="97">
                  <c:v>1647824.8923599999</c:v>
                </c:pt>
                <c:pt idx="98">
                  <c:v>1607689.4137599999</c:v>
                </c:pt>
                <c:pt idx="99">
                  <c:v>1625006.9322500001</c:v>
                </c:pt>
                <c:pt idx="100">
                  <c:v>1715454.76422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86723472"/>
        <c:axId val="1086734352"/>
      </c:scatterChart>
      <c:valAx>
        <c:axId val="10867234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6734352"/>
        <c:crosses val="autoZero"/>
        <c:crossBetween val="midCat"/>
      </c:valAx>
      <c:valAx>
        <c:axId val="1086734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67234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1"/>
          <c:order val="0"/>
          <c:tx>
            <c:strRef>
              <c:f>Sheet1!$E$1</c:f>
              <c:strCache>
                <c:ptCount val="1"/>
                <c:pt idx="0">
                  <c:v>LE11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Sheet1!$G$2:$G$1048576</c:f>
              <c:numCache>
                <c:formatCode>General</c:formatCode>
                <c:ptCount val="104857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xVal>
          <c:yVal>
            <c:numRef>
              <c:f>Sheet1!$D$2:$D$1048576</c:f>
              <c:numCache>
                <c:formatCode>0.00E+00</c:formatCode>
                <c:ptCount val="1048575"/>
                <c:pt idx="0" formatCode="General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yVal>
          <c:smooth val="1"/>
        </c:ser>
        <c:ser>
          <c:idx val="0"/>
          <c:order val="1"/>
          <c:tx>
            <c:strRef>
              <c:f>Sheet2!$H$1</c:f>
              <c:strCache>
                <c:ptCount val="1"/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Sheet2!$G$2:$G$102</c:f>
              <c:numCache>
                <c:formatCode>0.00E+00</c:formatCode>
                <c:ptCount val="101"/>
                <c:pt idx="0" formatCode="General">
                  <c:v>0</c:v>
                </c:pt>
                <c:pt idx="1">
                  <c:v>-2.7988517047299998E-6</c:v>
                </c:pt>
                <c:pt idx="2">
                  <c:v>1.0746253268300001E-5</c:v>
                </c:pt>
                <c:pt idx="3">
                  <c:v>1.72802553149E-5</c:v>
                </c:pt>
                <c:pt idx="4">
                  <c:v>4.2339967387399999E-5</c:v>
                </c:pt>
                <c:pt idx="5">
                  <c:v>7.3747665983199995E-5</c:v>
                </c:pt>
                <c:pt idx="6">
                  <c:v>1.6272708337700001E-4</c:v>
                </c:pt>
                <c:pt idx="7">
                  <c:v>2.4458539485299998E-4</c:v>
                </c:pt>
                <c:pt idx="8">
                  <c:v>3.5043148676799999E-4</c:v>
                </c:pt>
                <c:pt idx="9">
                  <c:v>5.0140799555200004E-4</c:v>
                </c:pt>
                <c:pt idx="10">
                  <c:v>6.30454842046E-4</c:v>
                </c:pt>
                <c:pt idx="11">
                  <c:v>6.1040419137900004E-4</c:v>
                </c:pt>
                <c:pt idx="12">
                  <c:v>5.5934213911299998E-4</c:v>
                </c:pt>
                <c:pt idx="13">
                  <c:v>4.99343173283E-4</c:v>
                </c:pt>
                <c:pt idx="14">
                  <c:v>4.3729249031699999E-4</c:v>
                </c:pt>
                <c:pt idx="15">
                  <c:v>3.8363028365000001E-4</c:v>
                </c:pt>
                <c:pt idx="16">
                  <c:v>3.1790592909499999E-4</c:v>
                </c:pt>
                <c:pt idx="17">
                  <c:v>2.55761988588E-4</c:v>
                </c:pt>
                <c:pt idx="18">
                  <c:v>1.86889189083E-4</c:v>
                </c:pt>
                <c:pt idx="19">
                  <c:v>1.24378389751E-4</c:v>
                </c:pt>
                <c:pt idx="20">
                  <c:v>6.0181801673899999E-5</c:v>
                </c:pt>
                <c:pt idx="21">
                  <c:v>6.8064644325299996E-7</c:v>
                </c:pt>
                <c:pt idx="22">
                  <c:v>-2.3699437134499999E-5</c:v>
                </c:pt>
                <c:pt idx="23">
                  <c:v>-3.1664615304999999E-5</c:v>
                </c:pt>
                <c:pt idx="24">
                  <c:v>-3.9145122557800001E-5</c:v>
                </c:pt>
                <c:pt idx="25">
                  <c:v>-6.3371538558399998E-5</c:v>
                </c:pt>
                <c:pt idx="26">
                  <c:v>-4.12639820071E-5</c:v>
                </c:pt>
                <c:pt idx="27">
                  <c:v>-3.1916448931699999E-5</c:v>
                </c:pt>
                <c:pt idx="28">
                  <c:v>-7.41728613715E-5</c:v>
                </c:pt>
                <c:pt idx="29">
                  <c:v>-8.8960865200999998E-5</c:v>
                </c:pt>
                <c:pt idx="30">
                  <c:v>-9.0251711739800005E-5</c:v>
                </c:pt>
                <c:pt idx="31">
                  <c:v>-1.5219908030300001E-4</c:v>
                </c:pt>
                <c:pt idx="32">
                  <c:v>-1.50722729837E-4</c:v>
                </c:pt>
                <c:pt idx="33">
                  <c:v>-1.8119908454300001E-4</c:v>
                </c:pt>
                <c:pt idx="34">
                  <c:v>-1.80567999919E-4</c:v>
                </c:pt>
                <c:pt idx="35">
                  <c:v>-1.8498730945600001E-4</c:v>
                </c:pt>
                <c:pt idx="36">
                  <c:v>-1.7357078751099999E-4</c:v>
                </c:pt>
                <c:pt idx="37">
                  <c:v>-2.2056576761599999E-4</c:v>
                </c:pt>
                <c:pt idx="38">
                  <c:v>-1.4126066620799999E-4</c:v>
                </c:pt>
                <c:pt idx="39">
                  <c:v>-1.2800520136000001E-4</c:v>
                </c:pt>
                <c:pt idx="40">
                  <c:v>-1.4222272576999999E-4</c:v>
                </c:pt>
                <c:pt idx="41">
                  <c:v>-1.08797377935E-4</c:v>
                </c:pt>
                <c:pt idx="42">
                  <c:v>-5.25338009736E-5</c:v>
                </c:pt>
                <c:pt idx="43">
                  <c:v>-7.9931719912899999E-7</c:v>
                </c:pt>
                <c:pt idx="44">
                  <c:v>-1.00131159549E-4</c:v>
                </c:pt>
                <c:pt idx="45">
                  <c:v>-8.0352049081599996E-5</c:v>
                </c:pt>
                <c:pt idx="46">
                  <c:v>-6.0467371082800002E-5</c:v>
                </c:pt>
                <c:pt idx="47">
                  <c:v>4.8661726949999998E-6</c:v>
                </c:pt>
                <c:pt idx="48">
                  <c:v>-2.4056218415399998E-6</c:v>
                </c:pt>
                <c:pt idx="49">
                  <c:v>5.2479859280899998E-5</c:v>
                </c:pt>
                <c:pt idx="50">
                  <c:v>-4.2336770557100002E-5</c:v>
                </c:pt>
                <c:pt idx="51">
                  <c:v>8.4896641040500008E-6</c:v>
                </c:pt>
                <c:pt idx="52">
                  <c:v>5.9455241532400003E-5</c:v>
                </c:pt>
                <c:pt idx="53">
                  <c:v>2.5647035526300001E-5</c:v>
                </c:pt>
                <c:pt idx="54">
                  <c:v>1.8572914777900001E-4</c:v>
                </c:pt>
                <c:pt idx="55">
                  <c:v>3.0445893939600003E-4</c:v>
                </c:pt>
                <c:pt idx="56">
                  <c:v>3.62905563384E-4</c:v>
                </c:pt>
                <c:pt idx="57">
                  <c:v>1.8562191437000001E-4</c:v>
                </c:pt>
                <c:pt idx="58">
                  <c:v>2.3074185938999999E-4</c:v>
                </c:pt>
                <c:pt idx="59">
                  <c:v>4.5672962284400002E-4</c:v>
                </c:pt>
                <c:pt idx="60">
                  <c:v>4.8643947239899999E-4</c:v>
                </c:pt>
                <c:pt idx="61">
                  <c:v>7.3518590216599996E-4</c:v>
                </c:pt>
                <c:pt idx="62">
                  <c:v>5.3824060792400004E-4</c:v>
                </c:pt>
                <c:pt idx="63">
                  <c:v>5.71285227191E-4</c:v>
                </c:pt>
                <c:pt idx="64">
                  <c:v>6.5043602403500001E-4</c:v>
                </c:pt>
                <c:pt idx="65">
                  <c:v>7.4549737884799998E-4</c:v>
                </c:pt>
                <c:pt idx="66">
                  <c:v>8.0642096480400001E-4</c:v>
                </c:pt>
                <c:pt idx="67">
                  <c:v>8.2667985808600002E-4</c:v>
                </c:pt>
                <c:pt idx="68">
                  <c:v>8.1868013202200001E-4</c:v>
                </c:pt>
                <c:pt idx="69">
                  <c:v>7.8180262522900004E-4</c:v>
                </c:pt>
                <c:pt idx="70">
                  <c:v>8.1198802968800003E-4</c:v>
                </c:pt>
                <c:pt idx="71">
                  <c:v>8.7565336992000001E-4</c:v>
                </c:pt>
                <c:pt idx="72">
                  <c:v>9.1944422378599999E-4</c:v>
                </c:pt>
                <c:pt idx="73">
                  <c:v>9.5226068323600002E-4</c:v>
                </c:pt>
                <c:pt idx="74">
                  <c:v>9.8547931730600009E-4</c:v>
                </c:pt>
                <c:pt idx="75">
                  <c:v>1.0705644716099999E-3</c:v>
                </c:pt>
                <c:pt idx="76">
                  <c:v>1.1434940033799999E-3</c:v>
                </c:pt>
                <c:pt idx="77">
                  <c:v>1.23110305283E-3</c:v>
                </c:pt>
                <c:pt idx="78">
                  <c:v>1.3344591445599999E-3</c:v>
                </c:pt>
                <c:pt idx="79">
                  <c:v>1.42679045979E-3</c:v>
                </c:pt>
                <c:pt idx="80">
                  <c:v>1.51589051355E-3</c:v>
                </c:pt>
                <c:pt idx="81">
                  <c:v>1.61069120734E-3</c:v>
                </c:pt>
                <c:pt idx="82">
                  <c:v>1.7103259448099999E-3</c:v>
                </c:pt>
                <c:pt idx="83">
                  <c:v>1.86724351338E-3</c:v>
                </c:pt>
                <c:pt idx="84">
                  <c:v>1.9869168363000002E-3</c:v>
                </c:pt>
                <c:pt idx="85">
                  <c:v>2.1408430227500001E-3</c:v>
                </c:pt>
                <c:pt idx="86">
                  <c:v>2.2350838593500001E-3</c:v>
                </c:pt>
                <c:pt idx="87">
                  <c:v>2.2558593985199998E-3</c:v>
                </c:pt>
                <c:pt idx="88">
                  <c:v>2.2103792887899999E-3</c:v>
                </c:pt>
                <c:pt idx="89">
                  <c:v>2.1465858127000001E-3</c:v>
                </c:pt>
                <c:pt idx="90">
                  <c:v>2.0920204569400002E-3</c:v>
                </c:pt>
                <c:pt idx="91">
                  <c:v>2.0489276581700001E-3</c:v>
                </c:pt>
                <c:pt idx="92">
                  <c:v>2.0546801094E-3</c:v>
                </c:pt>
                <c:pt idx="93">
                  <c:v>2.0618858084999999E-3</c:v>
                </c:pt>
                <c:pt idx="94">
                  <c:v>2.0788121423200002E-3</c:v>
                </c:pt>
                <c:pt idx="95">
                  <c:v>2.1464469180400001E-3</c:v>
                </c:pt>
                <c:pt idx="96">
                  <c:v>2.1356809175999999E-3</c:v>
                </c:pt>
                <c:pt idx="97">
                  <c:v>2.1160464416100002E-3</c:v>
                </c:pt>
                <c:pt idx="98">
                  <c:v>2.0925997500700001E-3</c:v>
                </c:pt>
                <c:pt idx="99">
                  <c:v>2.1529266097200001E-3</c:v>
                </c:pt>
                <c:pt idx="100">
                  <c:v>2.1866781976199999E-3</c:v>
                </c:pt>
              </c:numCache>
            </c:numRef>
          </c:xVal>
          <c:yVal>
            <c:numRef>
              <c:f>Sheet2!$D$2:$D$102</c:f>
              <c:numCache>
                <c:formatCode>General</c:formatCode>
                <c:ptCount val="101"/>
                <c:pt idx="0">
                  <c:v>0</c:v>
                </c:pt>
                <c:pt idx="1">
                  <c:v>-165248.93681799999</c:v>
                </c:pt>
                <c:pt idx="2">
                  <c:v>-233826.72799499999</c:v>
                </c:pt>
                <c:pt idx="3">
                  <c:v>-269213.03849499999</c:v>
                </c:pt>
                <c:pt idx="4">
                  <c:v>1086.3947326099999</c:v>
                </c:pt>
                <c:pt idx="5">
                  <c:v>-412287.70469599997</c:v>
                </c:pt>
                <c:pt idx="6">
                  <c:v>-465546.41024100001</c:v>
                </c:pt>
                <c:pt idx="7">
                  <c:v>-564155.44755599997</c:v>
                </c:pt>
                <c:pt idx="8">
                  <c:v>-978659.69924500003</c:v>
                </c:pt>
                <c:pt idx="9">
                  <c:v>-765853.30578699999</c:v>
                </c:pt>
                <c:pt idx="10">
                  <c:v>-342530.27771200001</c:v>
                </c:pt>
                <c:pt idx="11">
                  <c:v>1146451.5755700001</c:v>
                </c:pt>
                <c:pt idx="12">
                  <c:v>1163713.81348</c:v>
                </c:pt>
                <c:pt idx="13">
                  <c:v>1098100.1408200001</c:v>
                </c:pt>
                <c:pt idx="14">
                  <c:v>1030094.47241</c:v>
                </c:pt>
                <c:pt idx="15">
                  <c:v>966746.44753500004</c:v>
                </c:pt>
                <c:pt idx="16">
                  <c:v>834974.14401299995</c:v>
                </c:pt>
                <c:pt idx="17">
                  <c:v>711196.78696299996</c:v>
                </c:pt>
                <c:pt idx="18">
                  <c:v>576785.87107700005</c:v>
                </c:pt>
                <c:pt idx="19">
                  <c:v>459276.30870300002</c:v>
                </c:pt>
                <c:pt idx="20">
                  <c:v>268581.23610899999</c:v>
                </c:pt>
                <c:pt idx="21">
                  <c:v>29420.674865699999</c:v>
                </c:pt>
                <c:pt idx="22">
                  <c:v>57868.966659400001</c:v>
                </c:pt>
                <c:pt idx="23">
                  <c:v>63467.973057099996</c:v>
                </c:pt>
                <c:pt idx="24">
                  <c:v>114162.467139</c:v>
                </c:pt>
                <c:pt idx="25">
                  <c:v>18822.763281799998</c:v>
                </c:pt>
                <c:pt idx="26">
                  <c:v>134802.038436</c:v>
                </c:pt>
                <c:pt idx="27">
                  <c:v>173727.61751099999</c:v>
                </c:pt>
                <c:pt idx="28">
                  <c:v>-304397.144073</c:v>
                </c:pt>
                <c:pt idx="29">
                  <c:v>-270466.96739900002</c:v>
                </c:pt>
                <c:pt idx="30">
                  <c:v>-259930.65583900001</c:v>
                </c:pt>
                <c:pt idx="31">
                  <c:v>-781735.669413</c:v>
                </c:pt>
                <c:pt idx="32">
                  <c:v>-810932.191291</c:v>
                </c:pt>
                <c:pt idx="33">
                  <c:v>-1012579.28264</c:v>
                </c:pt>
                <c:pt idx="34">
                  <c:v>-1038690.40597</c:v>
                </c:pt>
                <c:pt idx="35">
                  <c:v>-1029400.4428</c:v>
                </c:pt>
                <c:pt idx="36">
                  <c:v>-1256637.17735</c:v>
                </c:pt>
                <c:pt idx="37">
                  <c:v>-1205269.60173</c:v>
                </c:pt>
                <c:pt idx="38">
                  <c:v>-1309962.42395</c:v>
                </c:pt>
                <c:pt idx="39">
                  <c:v>-1511234.0198599999</c:v>
                </c:pt>
                <c:pt idx="40">
                  <c:v>-2378425.5777400001</c:v>
                </c:pt>
                <c:pt idx="41">
                  <c:v>-2537566.4441800001</c:v>
                </c:pt>
                <c:pt idx="42">
                  <c:v>-2800619.5684400001</c:v>
                </c:pt>
                <c:pt idx="43">
                  <c:v>-2380829.39029</c:v>
                </c:pt>
                <c:pt idx="44">
                  <c:v>-2965583.2908999999</c:v>
                </c:pt>
                <c:pt idx="45">
                  <c:v>-3036877.18695</c:v>
                </c:pt>
                <c:pt idx="46">
                  <c:v>-2874150.8976799999</c:v>
                </c:pt>
                <c:pt idx="47">
                  <c:v>-2674997.33317</c:v>
                </c:pt>
                <c:pt idx="48">
                  <c:v>-2657318.8227400002</c:v>
                </c:pt>
                <c:pt idx="49">
                  <c:v>-2022290.1379499999</c:v>
                </c:pt>
                <c:pt idx="50">
                  <c:v>-2744204.24548</c:v>
                </c:pt>
                <c:pt idx="51">
                  <c:v>-3435304.99389</c:v>
                </c:pt>
                <c:pt idx="52">
                  <c:v>-3559956.2118600002</c:v>
                </c:pt>
                <c:pt idx="53">
                  <c:v>-4322014.4440400004</c:v>
                </c:pt>
                <c:pt idx="54">
                  <c:v>-4109118.74902</c:v>
                </c:pt>
                <c:pt idx="55">
                  <c:v>-3412848.7747900002</c:v>
                </c:pt>
                <c:pt idx="56">
                  <c:v>-3459008.3860399998</c:v>
                </c:pt>
                <c:pt idx="57">
                  <c:v>-3395365.0092000002</c:v>
                </c:pt>
                <c:pt idx="58">
                  <c:v>-3343731.2718600002</c:v>
                </c:pt>
                <c:pt idx="59">
                  <c:v>-1339281.5356300001</c:v>
                </c:pt>
                <c:pt idx="60">
                  <c:v>-1027108.3298900001</c:v>
                </c:pt>
                <c:pt idx="61">
                  <c:v>-228936.925885</c:v>
                </c:pt>
                <c:pt idx="62">
                  <c:v>-542234.13273700001</c:v>
                </c:pt>
                <c:pt idx="63">
                  <c:v>-472115.33818999998</c:v>
                </c:pt>
                <c:pt idx="64">
                  <c:v>-330881.25738000002</c:v>
                </c:pt>
                <c:pt idx="65">
                  <c:v>-65544.529035300002</c:v>
                </c:pt>
                <c:pt idx="66">
                  <c:v>153849.59479100001</c:v>
                </c:pt>
                <c:pt idx="67">
                  <c:v>311281.66661199997</c:v>
                </c:pt>
                <c:pt idx="68">
                  <c:v>438204.47869299998</c:v>
                </c:pt>
                <c:pt idx="69">
                  <c:v>523805.449547</c:v>
                </c:pt>
                <c:pt idx="70">
                  <c:v>473060.91032899998</c:v>
                </c:pt>
                <c:pt idx="71">
                  <c:v>620738.76916999999</c:v>
                </c:pt>
                <c:pt idx="72">
                  <c:v>333977.86806200002</c:v>
                </c:pt>
                <c:pt idx="73">
                  <c:v>428313.20795399998</c:v>
                </c:pt>
                <c:pt idx="74">
                  <c:v>245197.56824200001</c:v>
                </c:pt>
                <c:pt idx="75">
                  <c:v>-95297.020342000003</c:v>
                </c:pt>
                <c:pt idx="76">
                  <c:v>-136327.46530400001</c:v>
                </c:pt>
                <c:pt idx="77">
                  <c:v>-95795.109790100003</c:v>
                </c:pt>
                <c:pt idx="78">
                  <c:v>-86215.103694100006</c:v>
                </c:pt>
                <c:pt idx="79">
                  <c:v>-70080.268173000004</c:v>
                </c:pt>
                <c:pt idx="80">
                  <c:v>-82583.128806599998</c:v>
                </c:pt>
                <c:pt idx="81">
                  <c:v>-135362.479567</c:v>
                </c:pt>
                <c:pt idx="82">
                  <c:v>-237674.58257500001</c:v>
                </c:pt>
                <c:pt idx="83">
                  <c:v>-147311.30502</c:v>
                </c:pt>
                <c:pt idx="84">
                  <c:v>-123198.191786</c:v>
                </c:pt>
                <c:pt idx="85">
                  <c:v>-296826.64696400001</c:v>
                </c:pt>
                <c:pt idx="86">
                  <c:v>-298452.17758199997</c:v>
                </c:pt>
                <c:pt idx="87">
                  <c:v>-355754.30438699998</c:v>
                </c:pt>
                <c:pt idx="88">
                  <c:v>-402734.75437899999</c:v>
                </c:pt>
                <c:pt idx="89">
                  <c:v>-637058.14606399997</c:v>
                </c:pt>
                <c:pt idx="90">
                  <c:v>-762382.78392900003</c:v>
                </c:pt>
                <c:pt idx="91">
                  <c:v>-934409.16035699996</c:v>
                </c:pt>
                <c:pt idx="92">
                  <c:v>-1065273.39637</c:v>
                </c:pt>
                <c:pt idx="93">
                  <c:v>-1212380.1466900001</c:v>
                </c:pt>
                <c:pt idx="94">
                  <c:v>-1329517.21165</c:v>
                </c:pt>
                <c:pt idx="95">
                  <c:v>-1431842.1273099999</c:v>
                </c:pt>
                <c:pt idx="96">
                  <c:v>-1093616.2547899999</c:v>
                </c:pt>
                <c:pt idx="97">
                  <c:v>-1141852.0176500001</c:v>
                </c:pt>
                <c:pt idx="98">
                  <c:v>-1419243.96863</c:v>
                </c:pt>
                <c:pt idx="99">
                  <c:v>-1549246.2017399999</c:v>
                </c:pt>
                <c:pt idx="100">
                  <c:v>-1617115.78568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4458128"/>
        <c:axId val="1184459216"/>
      </c:scatterChart>
      <c:valAx>
        <c:axId val="11844581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4459216"/>
        <c:crosses val="autoZero"/>
        <c:crossBetween val="midCat"/>
      </c:valAx>
      <c:valAx>
        <c:axId val="1184459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44581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Sheet2!$H$1</c:f>
              <c:strCache>
                <c:ptCount val="1"/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Sheet2!$G$2:$G$102</c:f>
              <c:numCache>
                <c:formatCode>0.00E+00</c:formatCode>
                <c:ptCount val="101"/>
                <c:pt idx="0" formatCode="General">
                  <c:v>0</c:v>
                </c:pt>
                <c:pt idx="1">
                  <c:v>-2.7988517047299998E-6</c:v>
                </c:pt>
                <c:pt idx="2">
                  <c:v>1.0746253268300001E-5</c:v>
                </c:pt>
                <c:pt idx="3">
                  <c:v>1.72802553149E-5</c:v>
                </c:pt>
                <c:pt idx="4">
                  <c:v>4.2339967387399999E-5</c:v>
                </c:pt>
                <c:pt idx="5">
                  <c:v>7.3747665983199995E-5</c:v>
                </c:pt>
                <c:pt idx="6">
                  <c:v>1.6272708337700001E-4</c:v>
                </c:pt>
                <c:pt idx="7">
                  <c:v>2.4458539485299998E-4</c:v>
                </c:pt>
                <c:pt idx="8">
                  <c:v>3.5043148676799999E-4</c:v>
                </c:pt>
                <c:pt idx="9">
                  <c:v>5.0140799555200004E-4</c:v>
                </c:pt>
                <c:pt idx="10">
                  <c:v>6.30454842046E-4</c:v>
                </c:pt>
                <c:pt idx="11">
                  <c:v>6.1040419137900004E-4</c:v>
                </c:pt>
                <c:pt idx="12">
                  <c:v>5.5934213911299998E-4</c:v>
                </c:pt>
                <c:pt idx="13">
                  <c:v>4.99343173283E-4</c:v>
                </c:pt>
                <c:pt idx="14">
                  <c:v>4.3729249031699999E-4</c:v>
                </c:pt>
                <c:pt idx="15">
                  <c:v>3.8363028365000001E-4</c:v>
                </c:pt>
                <c:pt idx="16">
                  <c:v>3.1790592909499999E-4</c:v>
                </c:pt>
                <c:pt idx="17">
                  <c:v>2.55761988588E-4</c:v>
                </c:pt>
                <c:pt idx="18">
                  <c:v>1.86889189083E-4</c:v>
                </c:pt>
                <c:pt idx="19">
                  <c:v>1.24378389751E-4</c:v>
                </c:pt>
                <c:pt idx="20">
                  <c:v>6.0181801673899999E-5</c:v>
                </c:pt>
                <c:pt idx="21">
                  <c:v>6.8064644325299996E-7</c:v>
                </c:pt>
                <c:pt idx="22">
                  <c:v>-2.3699437134499999E-5</c:v>
                </c:pt>
                <c:pt idx="23">
                  <c:v>-3.1664615304999999E-5</c:v>
                </c:pt>
                <c:pt idx="24">
                  <c:v>-3.9145122557800001E-5</c:v>
                </c:pt>
                <c:pt idx="25">
                  <c:v>-6.3371538558399998E-5</c:v>
                </c:pt>
                <c:pt idx="26">
                  <c:v>-4.12639820071E-5</c:v>
                </c:pt>
                <c:pt idx="27">
                  <c:v>-3.1916448931699999E-5</c:v>
                </c:pt>
                <c:pt idx="28">
                  <c:v>-7.41728613715E-5</c:v>
                </c:pt>
                <c:pt idx="29">
                  <c:v>-8.8960865200999998E-5</c:v>
                </c:pt>
                <c:pt idx="30">
                  <c:v>-9.0251711739800005E-5</c:v>
                </c:pt>
                <c:pt idx="31">
                  <c:v>-1.5219908030300001E-4</c:v>
                </c:pt>
                <c:pt idx="32">
                  <c:v>-1.50722729837E-4</c:v>
                </c:pt>
                <c:pt idx="33">
                  <c:v>-1.8119908454300001E-4</c:v>
                </c:pt>
                <c:pt idx="34">
                  <c:v>-1.80567999919E-4</c:v>
                </c:pt>
                <c:pt idx="35">
                  <c:v>-1.8498730945600001E-4</c:v>
                </c:pt>
                <c:pt idx="36">
                  <c:v>-1.7357078751099999E-4</c:v>
                </c:pt>
                <c:pt idx="37">
                  <c:v>-2.2056576761599999E-4</c:v>
                </c:pt>
                <c:pt idx="38">
                  <c:v>-1.4126066620799999E-4</c:v>
                </c:pt>
                <c:pt idx="39">
                  <c:v>-1.2800520136000001E-4</c:v>
                </c:pt>
                <c:pt idx="40">
                  <c:v>-1.4222272576999999E-4</c:v>
                </c:pt>
                <c:pt idx="41">
                  <c:v>-1.08797377935E-4</c:v>
                </c:pt>
                <c:pt idx="42">
                  <c:v>-5.25338009736E-5</c:v>
                </c:pt>
                <c:pt idx="43">
                  <c:v>-7.9931719912899999E-7</c:v>
                </c:pt>
                <c:pt idx="44">
                  <c:v>-1.00131159549E-4</c:v>
                </c:pt>
                <c:pt idx="45">
                  <c:v>-8.0352049081599996E-5</c:v>
                </c:pt>
                <c:pt idx="46">
                  <c:v>-6.0467371082800002E-5</c:v>
                </c:pt>
                <c:pt idx="47">
                  <c:v>4.8661726949999998E-6</c:v>
                </c:pt>
                <c:pt idx="48">
                  <c:v>-2.4056218415399998E-6</c:v>
                </c:pt>
                <c:pt idx="49">
                  <c:v>5.2479859280899998E-5</c:v>
                </c:pt>
                <c:pt idx="50">
                  <c:v>-4.2336770557100002E-5</c:v>
                </c:pt>
                <c:pt idx="51">
                  <c:v>8.4896641040500008E-6</c:v>
                </c:pt>
                <c:pt idx="52">
                  <c:v>5.9455241532400003E-5</c:v>
                </c:pt>
                <c:pt idx="53">
                  <c:v>2.5647035526300001E-5</c:v>
                </c:pt>
                <c:pt idx="54">
                  <c:v>1.8572914777900001E-4</c:v>
                </c:pt>
                <c:pt idx="55">
                  <c:v>3.0445893939600003E-4</c:v>
                </c:pt>
                <c:pt idx="56">
                  <c:v>3.62905563384E-4</c:v>
                </c:pt>
                <c:pt idx="57">
                  <c:v>1.8562191437000001E-4</c:v>
                </c:pt>
                <c:pt idx="58">
                  <c:v>2.3074185938999999E-4</c:v>
                </c:pt>
                <c:pt idx="59">
                  <c:v>4.5672962284400002E-4</c:v>
                </c:pt>
                <c:pt idx="60">
                  <c:v>4.8643947239899999E-4</c:v>
                </c:pt>
                <c:pt idx="61">
                  <c:v>7.3518590216599996E-4</c:v>
                </c:pt>
                <c:pt idx="62">
                  <c:v>5.3824060792400004E-4</c:v>
                </c:pt>
                <c:pt idx="63">
                  <c:v>5.71285227191E-4</c:v>
                </c:pt>
                <c:pt idx="64">
                  <c:v>6.5043602403500001E-4</c:v>
                </c:pt>
                <c:pt idx="65">
                  <c:v>7.4549737884799998E-4</c:v>
                </c:pt>
                <c:pt idx="66">
                  <c:v>8.0642096480400001E-4</c:v>
                </c:pt>
                <c:pt idx="67">
                  <c:v>8.2667985808600002E-4</c:v>
                </c:pt>
                <c:pt idx="68">
                  <c:v>8.1868013202200001E-4</c:v>
                </c:pt>
                <c:pt idx="69">
                  <c:v>7.8180262522900004E-4</c:v>
                </c:pt>
                <c:pt idx="70">
                  <c:v>8.1198802968800003E-4</c:v>
                </c:pt>
                <c:pt idx="71">
                  <c:v>8.7565336992000001E-4</c:v>
                </c:pt>
                <c:pt idx="72">
                  <c:v>9.1944422378599999E-4</c:v>
                </c:pt>
                <c:pt idx="73">
                  <c:v>9.5226068323600002E-4</c:v>
                </c:pt>
                <c:pt idx="74">
                  <c:v>9.8547931730600009E-4</c:v>
                </c:pt>
                <c:pt idx="75">
                  <c:v>1.0705644716099999E-3</c:v>
                </c:pt>
                <c:pt idx="76">
                  <c:v>1.1434940033799999E-3</c:v>
                </c:pt>
                <c:pt idx="77">
                  <c:v>1.23110305283E-3</c:v>
                </c:pt>
                <c:pt idx="78">
                  <c:v>1.3344591445599999E-3</c:v>
                </c:pt>
                <c:pt idx="79">
                  <c:v>1.42679045979E-3</c:v>
                </c:pt>
                <c:pt idx="80">
                  <c:v>1.51589051355E-3</c:v>
                </c:pt>
                <c:pt idx="81">
                  <c:v>1.61069120734E-3</c:v>
                </c:pt>
                <c:pt idx="82">
                  <c:v>1.7103259448099999E-3</c:v>
                </c:pt>
                <c:pt idx="83">
                  <c:v>1.86724351338E-3</c:v>
                </c:pt>
                <c:pt idx="84">
                  <c:v>1.9869168363000002E-3</c:v>
                </c:pt>
                <c:pt idx="85">
                  <c:v>2.1408430227500001E-3</c:v>
                </c:pt>
                <c:pt idx="86">
                  <c:v>2.2350838593500001E-3</c:v>
                </c:pt>
                <c:pt idx="87">
                  <c:v>2.2558593985199998E-3</c:v>
                </c:pt>
                <c:pt idx="88">
                  <c:v>2.2103792887899999E-3</c:v>
                </c:pt>
                <c:pt idx="89">
                  <c:v>2.1465858127000001E-3</c:v>
                </c:pt>
                <c:pt idx="90">
                  <c:v>2.0920204569400002E-3</c:v>
                </c:pt>
                <c:pt idx="91">
                  <c:v>2.0489276581700001E-3</c:v>
                </c:pt>
                <c:pt idx="92">
                  <c:v>2.0546801094E-3</c:v>
                </c:pt>
                <c:pt idx="93">
                  <c:v>2.0618858084999999E-3</c:v>
                </c:pt>
                <c:pt idx="94">
                  <c:v>2.0788121423200002E-3</c:v>
                </c:pt>
                <c:pt idx="95">
                  <c:v>2.1464469180400001E-3</c:v>
                </c:pt>
                <c:pt idx="96">
                  <c:v>2.1356809175999999E-3</c:v>
                </c:pt>
                <c:pt idx="97">
                  <c:v>2.1160464416100002E-3</c:v>
                </c:pt>
                <c:pt idx="98">
                  <c:v>2.0925997500700001E-3</c:v>
                </c:pt>
                <c:pt idx="99">
                  <c:v>2.1529266097200001E-3</c:v>
                </c:pt>
                <c:pt idx="100">
                  <c:v>2.1866781976199999E-3</c:v>
                </c:pt>
              </c:numCache>
            </c:numRef>
          </c:xVal>
          <c:yVal>
            <c:numRef>
              <c:f>Sheet2!$D$2:$D$102</c:f>
              <c:numCache>
                <c:formatCode>General</c:formatCode>
                <c:ptCount val="101"/>
                <c:pt idx="0">
                  <c:v>0</c:v>
                </c:pt>
                <c:pt idx="1">
                  <c:v>-165248.93681799999</c:v>
                </c:pt>
                <c:pt idx="2">
                  <c:v>-233826.72799499999</c:v>
                </c:pt>
                <c:pt idx="3">
                  <c:v>-269213.03849499999</c:v>
                </c:pt>
                <c:pt idx="4">
                  <c:v>1086.3947326099999</c:v>
                </c:pt>
                <c:pt idx="5">
                  <c:v>-412287.70469599997</c:v>
                </c:pt>
                <c:pt idx="6">
                  <c:v>-465546.41024100001</c:v>
                </c:pt>
                <c:pt idx="7">
                  <c:v>-564155.44755599997</c:v>
                </c:pt>
                <c:pt idx="8">
                  <c:v>-978659.69924500003</c:v>
                </c:pt>
                <c:pt idx="9">
                  <c:v>-765853.30578699999</c:v>
                </c:pt>
                <c:pt idx="10">
                  <c:v>-342530.27771200001</c:v>
                </c:pt>
                <c:pt idx="11">
                  <c:v>1146451.5755700001</c:v>
                </c:pt>
                <c:pt idx="12">
                  <c:v>1163713.81348</c:v>
                </c:pt>
                <c:pt idx="13">
                  <c:v>1098100.1408200001</c:v>
                </c:pt>
                <c:pt idx="14">
                  <c:v>1030094.47241</c:v>
                </c:pt>
                <c:pt idx="15">
                  <c:v>966746.44753500004</c:v>
                </c:pt>
                <c:pt idx="16">
                  <c:v>834974.14401299995</c:v>
                </c:pt>
                <c:pt idx="17">
                  <c:v>711196.78696299996</c:v>
                </c:pt>
                <c:pt idx="18">
                  <c:v>576785.87107700005</c:v>
                </c:pt>
                <c:pt idx="19">
                  <c:v>459276.30870300002</c:v>
                </c:pt>
                <c:pt idx="20">
                  <c:v>268581.23610899999</c:v>
                </c:pt>
                <c:pt idx="21">
                  <c:v>29420.674865699999</c:v>
                </c:pt>
                <c:pt idx="22">
                  <c:v>57868.966659400001</c:v>
                </c:pt>
                <c:pt idx="23">
                  <c:v>63467.973057099996</c:v>
                </c:pt>
                <c:pt idx="24">
                  <c:v>114162.467139</c:v>
                </c:pt>
                <c:pt idx="25">
                  <c:v>18822.763281799998</c:v>
                </c:pt>
                <c:pt idx="26">
                  <c:v>134802.038436</c:v>
                </c:pt>
                <c:pt idx="27">
                  <c:v>173727.61751099999</c:v>
                </c:pt>
                <c:pt idx="28">
                  <c:v>-304397.144073</c:v>
                </c:pt>
                <c:pt idx="29">
                  <c:v>-270466.96739900002</c:v>
                </c:pt>
                <c:pt idx="30">
                  <c:v>-259930.65583900001</c:v>
                </c:pt>
                <c:pt idx="31">
                  <c:v>-781735.669413</c:v>
                </c:pt>
                <c:pt idx="32">
                  <c:v>-810932.191291</c:v>
                </c:pt>
                <c:pt idx="33">
                  <c:v>-1012579.28264</c:v>
                </c:pt>
                <c:pt idx="34">
                  <c:v>-1038690.40597</c:v>
                </c:pt>
                <c:pt idx="35">
                  <c:v>-1029400.4428</c:v>
                </c:pt>
                <c:pt idx="36">
                  <c:v>-1256637.17735</c:v>
                </c:pt>
                <c:pt idx="37">
                  <c:v>-1205269.60173</c:v>
                </c:pt>
                <c:pt idx="38">
                  <c:v>-1309962.42395</c:v>
                </c:pt>
                <c:pt idx="39">
                  <c:v>-1511234.0198599999</c:v>
                </c:pt>
                <c:pt idx="40">
                  <c:v>-2378425.5777400001</c:v>
                </c:pt>
                <c:pt idx="41">
                  <c:v>-2537566.4441800001</c:v>
                </c:pt>
                <c:pt idx="42">
                  <c:v>-2800619.5684400001</c:v>
                </c:pt>
                <c:pt idx="43">
                  <c:v>-2380829.39029</c:v>
                </c:pt>
                <c:pt idx="44">
                  <c:v>-2965583.2908999999</c:v>
                </c:pt>
                <c:pt idx="45">
                  <c:v>-3036877.18695</c:v>
                </c:pt>
                <c:pt idx="46">
                  <c:v>-2874150.8976799999</c:v>
                </c:pt>
                <c:pt idx="47">
                  <c:v>-2674997.33317</c:v>
                </c:pt>
                <c:pt idx="48">
                  <c:v>-2657318.8227400002</c:v>
                </c:pt>
                <c:pt idx="49">
                  <c:v>-2022290.1379499999</c:v>
                </c:pt>
                <c:pt idx="50">
                  <c:v>-2744204.24548</c:v>
                </c:pt>
                <c:pt idx="51">
                  <c:v>-3435304.99389</c:v>
                </c:pt>
                <c:pt idx="52">
                  <c:v>-3559956.2118600002</c:v>
                </c:pt>
                <c:pt idx="53">
                  <c:v>-4322014.4440400004</c:v>
                </c:pt>
                <c:pt idx="54">
                  <c:v>-4109118.74902</c:v>
                </c:pt>
                <c:pt idx="55">
                  <c:v>-3412848.7747900002</c:v>
                </c:pt>
                <c:pt idx="56">
                  <c:v>-3459008.3860399998</c:v>
                </c:pt>
                <c:pt idx="57">
                  <c:v>-3395365.0092000002</c:v>
                </c:pt>
                <c:pt idx="58">
                  <c:v>-3343731.2718600002</c:v>
                </c:pt>
                <c:pt idx="59">
                  <c:v>-1339281.5356300001</c:v>
                </c:pt>
                <c:pt idx="60">
                  <c:v>-1027108.3298900001</c:v>
                </c:pt>
                <c:pt idx="61">
                  <c:v>-228936.925885</c:v>
                </c:pt>
                <c:pt idx="62">
                  <c:v>-542234.13273700001</c:v>
                </c:pt>
                <c:pt idx="63">
                  <c:v>-472115.33818999998</c:v>
                </c:pt>
                <c:pt idx="64">
                  <c:v>-330881.25738000002</c:v>
                </c:pt>
                <c:pt idx="65">
                  <c:v>-65544.529035300002</c:v>
                </c:pt>
                <c:pt idx="66">
                  <c:v>153849.59479100001</c:v>
                </c:pt>
                <c:pt idx="67">
                  <c:v>311281.66661199997</c:v>
                </c:pt>
                <c:pt idx="68">
                  <c:v>438204.47869299998</c:v>
                </c:pt>
                <c:pt idx="69">
                  <c:v>523805.449547</c:v>
                </c:pt>
                <c:pt idx="70">
                  <c:v>473060.91032899998</c:v>
                </c:pt>
                <c:pt idx="71">
                  <c:v>620738.76916999999</c:v>
                </c:pt>
                <c:pt idx="72">
                  <c:v>333977.86806200002</c:v>
                </c:pt>
                <c:pt idx="73">
                  <c:v>428313.20795399998</c:v>
                </c:pt>
                <c:pt idx="74">
                  <c:v>245197.56824200001</c:v>
                </c:pt>
                <c:pt idx="75">
                  <c:v>-95297.020342000003</c:v>
                </c:pt>
                <c:pt idx="76">
                  <c:v>-136327.46530400001</c:v>
                </c:pt>
                <c:pt idx="77">
                  <c:v>-95795.109790100003</c:v>
                </c:pt>
                <c:pt idx="78">
                  <c:v>-86215.103694100006</c:v>
                </c:pt>
                <c:pt idx="79">
                  <c:v>-70080.268173000004</c:v>
                </c:pt>
                <c:pt idx="80">
                  <c:v>-82583.128806599998</c:v>
                </c:pt>
                <c:pt idx="81">
                  <c:v>-135362.479567</c:v>
                </c:pt>
                <c:pt idx="82">
                  <c:v>-237674.58257500001</c:v>
                </c:pt>
                <c:pt idx="83">
                  <c:v>-147311.30502</c:v>
                </c:pt>
                <c:pt idx="84">
                  <c:v>-123198.191786</c:v>
                </c:pt>
                <c:pt idx="85">
                  <c:v>-296826.64696400001</c:v>
                </c:pt>
                <c:pt idx="86">
                  <c:v>-298452.17758199997</c:v>
                </c:pt>
                <c:pt idx="87">
                  <c:v>-355754.30438699998</c:v>
                </c:pt>
                <c:pt idx="88">
                  <c:v>-402734.75437899999</c:v>
                </c:pt>
                <c:pt idx="89">
                  <c:v>-637058.14606399997</c:v>
                </c:pt>
                <c:pt idx="90">
                  <c:v>-762382.78392900003</c:v>
                </c:pt>
                <c:pt idx="91">
                  <c:v>-934409.16035699996</c:v>
                </c:pt>
                <c:pt idx="92">
                  <c:v>-1065273.39637</c:v>
                </c:pt>
                <c:pt idx="93">
                  <c:v>-1212380.1466900001</c:v>
                </c:pt>
                <c:pt idx="94">
                  <c:v>-1329517.21165</c:v>
                </c:pt>
                <c:pt idx="95">
                  <c:v>-1431842.1273099999</c:v>
                </c:pt>
                <c:pt idx="96">
                  <c:v>-1093616.2547899999</c:v>
                </c:pt>
                <c:pt idx="97">
                  <c:v>-1141852.0176500001</c:v>
                </c:pt>
                <c:pt idx="98">
                  <c:v>-1419243.96863</c:v>
                </c:pt>
                <c:pt idx="99">
                  <c:v>-1549246.2017399999</c:v>
                </c:pt>
                <c:pt idx="100">
                  <c:v>-1617115.78568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7776848"/>
        <c:axId val="617780112"/>
      </c:scatterChart>
      <c:valAx>
        <c:axId val="6177768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7780112"/>
        <c:crosses val="autoZero"/>
        <c:crossBetween val="midCat"/>
      </c:valAx>
      <c:valAx>
        <c:axId val="617780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77768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Sheet3!$B$1</c:f>
              <c:strCache>
                <c:ptCount val="1"/>
                <c:pt idx="0">
                  <c:v>yeild stress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6.7045734327456849E-2"/>
                  <c:y val="0.34217592592592594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Sheet3!$A$2:$A$13</c:f>
              <c:numCache>
                <c:formatCode>General</c:formatCode>
                <c:ptCount val="12"/>
                <c:pt idx="0">
                  <c:v>0</c:v>
                </c:pt>
                <c:pt idx="1">
                  <c:v>1E-3</c:v>
                </c:pt>
                <c:pt idx="2">
                  <c:v>2E-3</c:v>
                </c:pt>
                <c:pt idx="3">
                  <c:v>3.0000000000000001E-3</c:v>
                </c:pt>
                <c:pt idx="4">
                  <c:v>4.0000000000000001E-3</c:v>
                </c:pt>
                <c:pt idx="5">
                  <c:v>5.0000000000000001E-3</c:v>
                </c:pt>
                <c:pt idx="6">
                  <c:v>6.0000000000000001E-3</c:v>
                </c:pt>
                <c:pt idx="7">
                  <c:v>7.0000000000000001E-3</c:v>
                </c:pt>
                <c:pt idx="8">
                  <c:v>8.0000000000000002E-3</c:v>
                </c:pt>
                <c:pt idx="9">
                  <c:v>8.9999999999999993E-3</c:v>
                </c:pt>
                <c:pt idx="10">
                  <c:v>0.01</c:v>
                </c:pt>
              </c:numCache>
            </c:numRef>
          </c:xVal>
          <c:yVal>
            <c:numRef>
              <c:f>Sheet3!$B$2:$B$13</c:f>
              <c:numCache>
                <c:formatCode>0.00E+00</c:formatCode>
                <c:ptCount val="12"/>
                <c:pt idx="0">
                  <c:v>40000000</c:v>
                </c:pt>
                <c:pt idx="1">
                  <c:v>60000000</c:v>
                </c:pt>
                <c:pt idx="2">
                  <c:v>80000000</c:v>
                </c:pt>
                <c:pt idx="3">
                  <c:v>100000000</c:v>
                </c:pt>
                <c:pt idx="4">
                  <c:v>120000000</c:v>
                </c:pt>
                <c:pt idx="5">
                  <c:v>140000000</c:v>
                </c:pt>
                <c:pt idx="6">
                  <c:v>160000000</c:v>
                </c:pt>
                <c:pt idx="7">
                  <c:v>180000000</c:v>
                </c:pt>
                <c:pt idx="8">
                  <c:v>200000000</c:v>
                </c:pt>
                <c:pt idx="9">
                  <c:v>220000000</c:v>
                </c:pt>
                <c:pt idx="10">
                  <c:v>240000000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86687024"/>
        <c:axId val="1086700080"/>
      </c:scatterChart>
      <c:scatterChart>
        <c:scatterStyle val="lineMarker"/>
        <c:varyColors val="0"/>
        <c:ser>
          <c:idx val="1"/>
          <c:order val="1"/>
          <c:tx>
            <c:strRef>
              <c:f>Sheet3!$D$1</c:f>
              <c:strCache>
                <c:ptCount val="1"/>
                <c:pt idx="0">
                  <c:v>damage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Sheet3!$A$2:$A$13</c:f>
              <c:numCache>
                <c:formatCode>General</c:formatCode>
                <c:ptCount val="12"/>
                <c:pt idx="0">
                  <c:v>0</c:v>
                </c:pt>
                <c:pt idx="1">
                  <c:v>1E-3</c:v>
                </c:pt>
                <c:pt idx="2">
                  <c:v>2E-3</c:v>
                </c:pt>
                <c:pt idx="3">
                  <c:v>3.0000000000000001E-3</c:v>
                </c:pt>
                <c:pt idx="4">
                  <c:v>4.0000000000000001E-3</c:v>
                </c:pt>
                <c:pt idx="5">
                  <c:v>5.0000000000000001E-3</c:v>
                </c:pt>
                <c:pt idx="6">
                  <c:v>6.0000000000000001E-3</c:v>
                </c:pt>
                <c:pt idx="7">
                  <c:v>7.0000000000000001E-3</c:v>
                </c:pt>
                <c:pt idx="8">
                  <c:v>8.0000000000000002E-3</c:v>
                </c:pt>
                <c:pt idx="9">
                  <c:v>8.9999999999999993E-3</c:v>
                </c:pt>
                <c:pt idx="10">
                  <c:v>0.01</c:v>
                </c:pt>
              </c:numCache>
            </c:numRef>
          </c:xVal>
          <c:yVal>
            <c:numRef>
              <c:f>Sheet3!$D$2:$D$13</c:f>
              <c:numCache>
                <c:formatCode>0.00E+00</c:formatCode>
                <c:ptCount val="12"/>
                <c:pt idx="0">
                  <c:v>0</c:v>
                </c:pt>
                <c:pt idx="1">
                  <c:v>0.17483333333333331</c:v>
                </c:pt>
                <c:pt idx="2">
                  <c:v>0.47284615384615386</c:v>
                </c:pt>
                <c:pt idx="3">
                  <c:v>0.80708823529411766</c:v>
                </c:pt>
                <c:pt idx="4">
                  <c:v>1.1568571428571428</c:v>
                </c:pt>
                <c:pt idx="5">
                  <c:v>1.5147000000000002</c:v>
                </c:pt>
                <c:pt idx="6">
                  <c:v>1.8772758620689658</c:v>
                </c:pt>
                <c:pt idx="7">
                  <c:v>2.2428636363636367</c:v>
                </c:pt>
                <c:pt idx="8">
                  <c:v>2.6104864864864865</c:v>
                </c:pt>
                <c:pt idx="9">
                  <c:v>2.9795487804878045</c:v>
                </c:pt>
                <c:pt idx="10">
                  <c:v>3.3496666666666668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86683216"/>
        <c:axId val="1086678320"/>
      </c:scatterChart>
      <c:valAx>
        <c:axId val="10866870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6700080"/>
        <c:crosses val="autoZero"/>
        <c:crossBetween val="midCat"/>
      </c:valAx>
      <c:valAx>
        <c:axId val="1086700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6687024"/>
        <c:crosses val="autoZero"/>
        <c:crossBetween val="midCat"/>
      </c:valAx>
      <c:valAx>
        <c:axId val="1086678320"/>
        <c:scaling>
          <c:orientation val="minMax"/>
        </c:scaling>
        <c:delete val="0"/>
        <c:axPos val="r"/>
        <c:numFmt formatCode="0.00E+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6683216"/>
        <c:crosses val="max"/>
        <c:crossBetween val="midCat"/>
      </c:valAx>
      <c:valAx>
        <c:axId val="108668321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0866783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Sheet4!$B$1</c:f>
              <c:strCache>
                <c:ptCount val="1"/>
                <c:pt idx="0">
                  <c:v>obj.function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Sheet4!$A$2:$A$109</c:f>
              <c:numCache>
                <c:formatCode>General</c:formatCode>
                <c:ptCount val="10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</c:numCache>
            </c:numRef>
          </c:xVal>
          <c:yVal>
            <c:numRef>
              <c:f>Sheet4!$B$2:$B$109</c:f>
              <c:numCache>
                <c:formatCode>0.00E+00</c:formatCode>
                <c:ptCount val="108"/>
                <c:pt idx="0">
                  <c:v>1.78658E+16</c:v>
                </c:pt>
                <c:pt idx="1">
                  <c:v>1.827822E+16</c:v>
                </c:pt>
                <c:pt idx="2">
                  <c:v>1.744262E+16</c:v>
                </c:pt>
                <c:pt idx="3">
                  <c:v>1.736495E+16</c:v>
                </c:pt>
                <c:pt idx="4">
                  <c:v>1.661325E+16</c:v>
                </c:pt>
                <c:pt idx="5">
                  <c:v>1.671209E+16</c:v>
                </c:pt>
                <c:pt idx="6">
                  <c:v>1.695482E+16</c:v>
                </c:pt>
                <c:pt idx="7">
                  <c:v>1.76068E+16</c:v>
                </c:pt>
                <c:pt idx="8">
                  <c:v>1.757798E+16</c:v>
                </c:pt>
                <c:pt idx="9">
                  <c:v>1.71213E+16</c:v>
                </c:pt>
                <c:pt idx="10">
                  <c:v>1.757697E+16</c:v>
                </c:pt>
                <c:pt idx="11">
                  <c:v>1.692318E+16</c:v>
                </c:pt>
                <c:pt idx="12">
                  <c:v>1.692318E+16</c:v>
                </c:pt>
                <c:pt idx="13">
                  <c:v>1.692318E+16</c:v>
                </c:pt>
                <c:pt idx="14">
                  <c:v>1.692318E+16</c:v>
                </c:pt>
                <c:pt idx="15">
                  <c:v>1.692318E+16</c:v>
                </c:pt>
                <c:pt idx="16">
                  <c:v>1.692318E+16</c:v>
                </c:pt>
                <c:pt idx="17">
                  <c:v>1.692318E+16</c:v>
                </c:pt>
                <c:pt idx="18">
                  <c:v>1.701217E+16</c:v>
                </c:pt>
                <c:pt idx="19">
                  <c:v>1.707821E+16</c:v>
                </c:pt>
                <c:pt idx="20">
                  <c:v>1.700586E+16</c:v>
                </c:pt>
                <c:pt idx="21">
                  <c:v>1.62059E+16</c:v>
                </c:pt>
                <c:pt idx="22">
                  <c:v>1.640068E+16</c:v>
                </c:pt>
                <c:pt idx="23">
                  <c:v>1.662334E+16</c:v>
                </c:pt>
                <c:pt idx="24">
                  <c:v>1.723751E+16</c:v>
                </c:pt>
                <c:pt idx="25">
                  <c:v>1.719582E+16</c:v>
                </c:pt>
                <c:pt idx="26">
                  <c:v>1.678675E+16</c:v>
                </c:pt>
                <c:pt idx="27">
                  <c:v>1.721902E+16</c:v>
                </c:pt>
                <c:pt idx="28">
                  <c:v>1.654392E+16</c:v>
                </c:pt>
                <c:pt idx="29">
                  <c:v>1.654392E+16</c:v>
                </c:pt>
                <c:pt idx="30">
                  <c:v>1.375182E+16</c:v>
                </c:pt>
                <c:pt idx="31">
                  <c:v>1.374623E+16</c:v>
                </c:pt>
                <c:pt idx="32">
                  <c:v>1.375565E+16</c:v>
                </c:pt>
                <c:pt idx="33">
                  <c:v>1.288469E+16</c:v>
                </c:pt>
                <c:pt idx="34">
                  <c:v>1.205925E+16</c:v>
                </c:pt>
                <c:pt idx="35">
                  <c:v>1.010094E+16</c:v>
                </c:pt>
                <c:pt idx="36">
                  <c:v>1.007021E+16</c:v>
                </c:pt>
                <c:pt idx="37">
                  <c:v>9989989000000000</c:v>
                </c:pt>
                <c:pt idx="38">
                  <c:v>1.002257E+16</c:v>
                </c:pt>
                <c:pt idx="39">
                  <c:v>1.010829E+16</c:v>
                </c:pt>
                <c:pt idx="40">
                  <c:v>9853611000000000</c:v>
                </c:pt>
                <c:pt idx="41">
                  <c:v>1.005862E+16</c:v>
                </c:pt>
                <c:pt idx="42">
                  <c:v>1.008514E+16</c:v>
                </c:pt>
                <c:pt idx="43">
                  <c:v>1.002933E+16</c:v>
                </c:pt>
                <c:pt idx="44">
                  <c:v>1.009765E+16</c:v>
                </c:pt>
                <c:pt idx="45">
                  <c:v>1.012762E+16</c:v>
                </c:pt>
                <c:pt idx="46">
                  <c:v>1.034159E+16</c:v>
                </c:pt>
                <c:pt idx="47">
                  <c:v>1.01017E+16</c:v>
                </c:pt>
                <c:pt idx="48">
                  <c:v>9105620000000000</c:v>
                </c:pt>
                <c:pt idx="49">
                  <c:v>6487032000000000</c:v>
                </c:pt>
                <c:pt idx="50">
                  <c:v>6484146000000000</c:v>
                </c:pt>
                <c:pt idx="51">
                  <c:v>6488418000000000</c:v>
                </c:pt>
                <c:pt idx="52">
                  <c:v>5734266000000000</c:v>
                </c:pt>
                <c:pt idx="53">
                  <c:v>5938965000000000</c:v>
                </c:pt>
                <c:pt idx="54">
                  <c:v>5732777000000000</c:v>
                </c:pt>
                <c:pt idx="55">
                  <c:v>5720094000000000</c:v>
                </c:pt>
                <c:pt idx="56">
                  <c:v>5763907000000000</c:v>
                </c:pt>
                <c:pt idx="57">
                  <c:v>5716505000000000</c:v>
                </c:pt>
                <c:pt idx="58">
                  <c:v>5758822000000000</c:v>
                </c:pt>
                <c:pt idx="59">
                  <c:v>5712549000000000</c:v>
                </c:pt>
                <c:pt idx="60">
                  <c:v>5718389000000000</c:v>
                </c:pt>
                <c:pt idx="61">
                  <c:v>5727820000000000</c:v>
                </c:pt>
                <c:pt idx="62">
                  <c:v>5743145000000000</c:v>
                </c:pt>
                <c:pt idx="63">
                  <c:v>5725075000000000</c:v>
                </c:pt>
                <c:pt idx="64">
                  <c:v>5726736000000000</c:v>
                </c:pt>
                <c:pt idx="65">
                  <c:v>5860577000000000</c:v>
                </c:pt>
                <c:pt idx="66">
                  <c:v>5418229000000000</c:v>
                </c:pt>
                <c:pt idx="67">
                  <c:v>5418252000000000</c:v>
                </c:pt>
                <c:pt idx="68">
                  <c:v>5416094000000000</c:v>
                </c:pt>
                <c:pt idx="69">
                  <c:v>5126371000000000</c:v>
                </c:pt>
                <c:pt idx="70">
                  <c:v>5233120000000000</c:v>
                </c:pt>
                <c:pt idx="71">
                  <c:v>5144834000000000</c:v>
                </c:pt>
                <c:pt idx="72">
                  <c:v>5137197000000000</c:v>
                </c:pt>
                <c:pt idx="73">
                  <c:v>5147650000000000</c:v>
                </c:pt>
                <c:pt idx="74">
                  <c:v>5061082000000000</c:v>
                </c:pt>
                <c:pt idx="75">
                  <c:v>5146350000000000</c:v>
                </c:pt>
                <c:pt idx="76">
                  <c:v>5127469000000000</c:v>
                </c:pt>
                <c:pt idx="77">
                  <c:v>5134821000000000</c:v>
                </c:pt>
                <c:pt idx="78">
                  <c:v>5146663000000000</c:v>
                </c:pt>
                <c:pt idx="79">
                  <c:v>5189289000000000</c:v>
                </c:pt>
                <c:pt idx="80">
                  <c:v>5135466000000000</c:v>
                </c:pt>
                <c:pt idx="81">
                  <c:v>5124154000000000</c:v>
                </c:pt>
                <c:pt idx="82">
                  <c:v>5621748000000000</c:v>
                </c:pt>
                <c:pt idx="83">
                  <c:v>3979163000000000</c:v>
                </c:pt>
                <c:pt idx="84">
                  <c:v>3978058000000000</c:v>
                </c:pt>
                <c:pt idx="85">
                  <c:v>3980559000000000</c:v>
                </c:pt>
                <c:pt idx="86">
                  <c:v>3800811000000000</c:v>
                </c:pt>
                <c:pt idx="87">
                  <c:v>4465448000000000</c:v>
                </c:pt>
                <c:pt idx="88">
                  <c:v>3868715000000000</c:v>
                </c:pt>
                <c:pt idx="89">
                  <c:v>3788727000000000</c:v>
                </c:pt>
                <c:pt idx="90">
                  <c:v>3852108000000000</c:v>
                </c:pt>
                <c:pt idx="91">
                  <c:v>3821655000000000</c:v>
                </c:pt>
                <c:pt idx="92">
                  <c:v>3800848000000000</c:v>
                </c:pt>
                <c:pt idx="93">
                  <c:v>3781289000000000</c:v>
                </c:pt>
                <c:pt idx="94">
                  <c:v>3790814000000000</c:v>
                </c:pt>
                <c:pt idx="95">
                  <c:v>3806483000000000</c:v>
                </c:pt>
                <c:pt idx="96">
                  <c:v>3765635000000000</c:v>
                </c:pt>
                <c:pt idx="97">
                  <c:v>3725109000000000</c:v>
                </c:pt>
                <c:pt idx="98">
                  <c:v>3792599000000000</c:v>
                </c:pt>
                <c:pt idx="99">
                  <c:v>4936609000000000</c:v>
                </c:pt>
                <c:pt idx="100">
                  <c:v>4464814000000000</c:v>
                </c:pt>
                <c:pt idx="101">
                  <c:v>4468049000000000</c:v>
                </c:pt>
                <c:pt idx="102">
                  <c:v>4484474000000000</c:v>
                </c:pt>
                <c:pt idx="103">
                  <c:v>3800533000000000</c:v>
                </c:pt>
                <c:pt idx="104">
                  <c:v>3730960000000000</c:v>
                </c:pt>
                <c:pt idx="105">
                  <c:v>3795210000000000</c:v>
                </c:pt>
                <c:pt idx="106">
                  <c:v>3755216000000000</c:v>
                </c:pt>
                <c:pt idx="107">
                  <c:v>3725572000000000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86674512"/>
        <c:axId val="1086679952"/>
      </c:scatterChart>
      <c:valAx>
        <c:axId val="10866745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6679952"/>
        <c:crosses val="autoZero"/>
        <c:crossBetween val="midCat"/>
      </c:valAx>
      <c:valAx>
        <c:axId val="1086679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66745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Sheet5!$B$1</c:f>
              <c:strCache>
                <c:ptCount val="1"/>
                <c:pt idx="0">
                  <c:v>stress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Sheet5!$A$2:$A$14</c:f>
              <c:numCache>
                <c:formatCode>General</c:formatCode>
                <c:ptCount val="13"/>
                <c:pt idx="0">
                  <c:v>0</c:v>
                </c:pt>
                <c:pt idx="1">
                  <c:v>0.1</c:v>
                </c:pt>
                <c:pt idx="2">
                  <c:v>0.28000000000000003</c:v>
                </c:pt>
                <c:pt idx="3">
                  <c:v>0.57999999999999996</c:v>
                </c:pt>
                <c:pt idx="4">
                  <c:v>1</c:v>
                </c:pt>
                <c:pt idx="5">
                  <c:v>1.76</c:v>
                </c:pt>
                <c:pt idx="6">
                  <c:v>2.6</c:v>
                </c:pt>
                <c:pt idx="7">
                  <c:v>3.46</c:v>
                </c:pt>
                <c:pt idx="8">
                  <c:v>4.3099999999999996</c:v>
                </c:pt>
                <c:pt idx="9">
                  <c:v>5.14</c:v>
                </c:pt>
                <c:pt idx="10">
                  <c:v>5.95</c:v>
                </c:pt>
                <c:pt idx="11">
                  <c:v>6.74</c:v>
                </c:pt>
                <c:pt idx="12">
                  <c:v>7.51</c:v>
                </c:pt>
              </c:numCache>
            </c:numRef>
          </c:xVal>
          <c:yVal>
            <c:numRef>
              <c:f>Sheet5!$B$2:$B$14</c:f>
              <c:numCache>
                <c:formatCode>General</c:formatCode>
                <c:ptCount val="13"/>
                <c:pt idx="0">
                  <c:v>2.56</c:v>
                </c:pt>
                <c:pt idx="1">
                  <c:v>3.64</c:v>
                </c:pt>
                <c:pt idx="2">
                  <c:v>4.49</c:v>
                </c:pt>
                <c:pt idx="3">
                  <c:v>4.97</c:v>
                </c:pt>
                <c:pt idx="4">
                  <c:v>5.12</c:v>
                </c:pt>
                <c:pt idx="5">
                  <c:v>4.9000000000000004</c:v>
                </c:pt>
                <c:pt idx="6">
                  <c:v>4.43</c:v>
                </c:pt>
                <c:pt idx="7">
                  <c:v>3.89</c:v>
                </c:pt>
                <c:pt idx="8">
                  <c:v>3.37</c:v>
                </c:pt>
                <c:pt idx="9">
                  <c:v>2.92</c:v>
                </c:pt>
                <c:pt idx="10">
                  <c:v>2.54</c:v>
                </c:pt>
                <c:pt idx="11">
                  <c:v>2.2200000000000002</c:v>
                </c:pt>
                <c:pt idx="12">
                  <c:v>1.95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86702800"/>
        <c:axId val="1086703344"/>
      </c:scatterChart>
      <c:valAx>
        <c:axId val="10867028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6703344"/>
        <c:crosses val="autoZero"/>
        <c:crossBetween val="midCat"/>
      </c:valAx>
      <c:valAx>
        <c:axId val="10867033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67028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Sheet5!$D$1</c:f>
              <c:strCache>
                <c:ptCount val="1"/>
                <c:pt idx="0">
                  <c:v>damage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Sheet5!$A$2:$A$14</c:f>
              <c:numCache>
                <c:formatCode>General</c:formatCode>
                <c:ptCount val="13"/>
                <c:pt idx="0">
                  <c:v>0</c:v>
                </c:pt>
                <c:pt idx="1">
                  <c:v>0.1</c:v>
                </c:pt>
                <c:pt idx="2">
                  <c:v>0.28000000000000003</c:v>
                </c:pt>
                <c:pt idx="3">
                  <c:v>0.57999999999999996</c:v>
                </c:pt>
                <c:pt idx="4">
                  <c:v>1</c:v>
                </c:pt>
                <c:pt idx="5">
                  <c:v>1.76</c:v>
                </c:pt>
                <c:pt idx="6">
                  <c:v>2.6</c:v>
                </c:pt>
                <c:pt idx="7">
                  <c:v>3.46</c:v>
                </c:pt>
                <c:pt idx="8">
                  <c:v>4.3099999999999996</c:v>
                </c:pt>
                <c:pt idx="9">
                  <c:v>5.14</c:v>
                </c:pt>
                <c:pt idx="10">
                  <c:v>5.95</c:v>
                </c:pt>
                <c:pt idx="11">
                  <c:v>6.74</c:v>
                </c:pt>
                <c:pt idx="12">
                  <c:v>7.51</c:v>
                </c:pt>
              </c:numCache>
            </c:numRef>
          </c:xVal>
          <c:yVal>
            <c:numRef>
              <c:f>Sheet5!$D$2:$D$14</c:f>
              <c:numCache>
                <c:formatCode>General</c:formatCode>
                <c:ptCount val="13"/>
                <c:pt idx="0">
                  <c:v>0</c:v>
                </c:pt>
                <c:pt idx="1">
                  <c:v>0.1</c:v>
                </c:pt>
                <c:pt idx="2">
                  <c:v>0.28999999999999998</c:v>
                </c:pt>
                <c:pt idx="3">
                  <c:v>0.61</c:v>
                </c:pt>
                <c:pt idx="4">
                  <c:v>1</c:v>
                </c:pt>
                <c:pt idx="5">
                  <c:v>1.85</c:v>
                </c:pt>
                <c:pt idx="6">
                  <c:v>2.73</c:v>
                </c:pt>
                <c:pt idx="7">
                  <c:v>3.63</c:v>
                </c:pt>
                <c:pt idx="8">
                  <c:v>4.53</c:v>
                </c:pt>
                <c:pt idx="9">
                  <c:v>5.4</c:v>
                </c:pt>
                <c:pt idx="10">
                  <c:v>6.25</c:v>
                </c:pt>
                <c:pt idx="11">
                  <c:v>7.07</c:v>
                </c:pt>
                <c:pt idx="12">
                  <c:v>7.88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86691376"/>
        <c:axId val="1086699536"/>
      </c:scatterChart>
      <c:valAx>
        <c:axId val="10866913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6699536"/>
        <c:crosses val="autoZero"/>
        <c:crossBetween val="midCat"/>
      </c:valAx>
      <c:valAx>
        <c:axId val="1086699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66913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Sheet6!$B$1</c:f>
              <c:strCache>
                <c:ptCount val="1"/>
                <c:pt idx="0">
                  <c:v>stress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Sheet6!$A$2:$A$5</c:f>
              <c:numCache>
                <c:formatCode>General</c:formatCode>
                <c:ptCount val="4"/>
                <c:pt idx="0">
                  <c:v>0</c:v>
                </c:pt>
                <c:pt idx="1">
                  <c:v>0.47</c:v>
                </c:pt>
                <c:pt idx="2">
                  <c:v>2.93</c:v>
                </c:pt>
                <c:pt idx="3">
                  <c:v>8.07</c:v>
                </c:pt>
              </c:numCache>
            </c:numRef>
          </c:xVal>
          <c:yVal>
            <c:numRef>
              <c:f>Sheet6!$B$2:$B$5</c:f>
              <c:numCache>
                <c:formatCode>General</c:formatCode>
                <c:ptCount val="4"/>
                <c:pt idx="0">
                  <c:v>10000000</c:v>
                </c:pt>
                <c:pt idx="1">
                  <c:v>3906278.3535852116</c:v>
                </c:pt>
                <c:pt idx="2">
                  <c:v>28512.436826796322</c:v>
                </c:pt>
                <c:pt idx="3">
                  <c:v>0.9783338091423136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86690832"/>
        <c:axId val="1086697360"/>
      </c:scatterChart>
      <c:valAx>
        <c:axId val="10866908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6697360"/>
        <c:crosses val="autoZero"/>
        <c:crossBetween val="midCat"/>
      </c:valAx>
      <c:valAx>
        <c:axId val="1086697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66908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Sheet6!$D$1</c:f>
              <c:strCache>
                <c:ptCount val="1"/>
                <c:pt idx="0">
                  <c:v>damage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Sheet6!$A$2:$A$5</c:f>
              <c:numCache>
                <c:formatCode>General</c:formatCode>
                <c:ptCount val="4"/>
                <c:pt idx="0">
                  <c:v>0</c:v>
                </c:pt>
                <c:pt idx="1">
                  <c:v>0.47</c:v>
                </c:pt>
                <c:pt idx="2">
                  <c:v>2.93</c:v>
                </c:pt>
                <c:pt idx="3">
                  <c:v>8.07</c:v>
                </c:pt>
              </c:numCache>
            </c:numRef>
          </c:xVal>
          <c:yVal>
            <c:numRef>
              <c:f>Sheet6!$D$2:$D$5</c:f>
              <c:numCache>
                <c:formatCode>General</c:formatCode>
                <c:ptCount val="4"/>
                <c:pt idx="0">
                  <c:v>0</c:v>
                </c:pt>
                <c:pt idx="1">
                  <c:v>3.85</c:v>
                </c:pt>
                <c:pt idx="2">
                  <c:v>9</c:v>
                </c:pt>
                <c:pt idx="3">
                  <c:v>9.9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86680496"/>
        <c:axId val="1086678864"/>
      </c:scatterChart>
      <c:valAx>
        <c:axId val="10866804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6678864"/>
        <c:crosses val="autoZero"/>
        <c:crossBetween val="midCat"/>
      </c:valAx>
      <c:valAx>
        <c:axId val="1086678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66804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Sheet7!$C$6</c:f>
              <c:strCache>
                <c:ptCount val="1"/>
                <c:pt idx="0">
                  <c:v>max M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Sheet7!$A$7:$A$17</c:f>
              <c:numCache>
                <c:formatCode>General</c:formatCode>
                <c:ptCount val="11"/>
                <c:pt idx="0">
                  <c:v>0</c:v>
                </c:pt>
                <c:pt idx="1">
                  <c:v>1E-3</c:v>
                </c:pt>
                <c:pt idx="2">
                  <c:v>2E-3</c:v>
                </c:pt>
                <c:pt idx="3">
                  <c:v>3.0000000000000001E-3</c:v>
                </c:pt>
                <c:pt idx="4">
                  <c:v>4.0000000000000001E-3</c:v>
                </c:pt>
                <c:pt idx="5">
                  <c:v>5.0000000000000001E-3</c:v>
                </c:pt>
                <c:pt idx="6">
                  <c:v>6.0000000000000001E-3</c:v>
                </c:pt>
                <c:pt idx="7">
                  <c:v>7.0000000000000001E-3</c:v>
                </c:pt>
                <c:pt idx="8">
                  <c:v>8.0000000000000002E-3</c:v>
                </c:pt>
                <c:pt idx="9">
                  <c:v>8.9999999999999993E-3</c:v>
                </c:pt>
                <c:pt idx="10">
                  <c:v>0.01</c:v>
                </c:pt>
              </c:numCache>
            </c:numRef>
          </c:xVal>
          <c:yVal>
            <c:numRef>
              <c:f>Sheet7!$C$7:$C$17</c:f>
              <c:numCache>
                <c:formatCode>0.00E+00</c:formatCode>
                <c:ptCount val="11"/>
                <c:pt idx="0">
                  <c:v>923.07692307692309</c:v>
                </c:pt>
                <c:pt idx="1">
                  <c:v>423.11459353574924</c:v>
                </c:pt>
                <c:pt idx="2">
                  <c:v>278.35051546391753</c:v>
                </c:pt>
                <c:pt idx="3">
                  <c:v>209.60698689956331</c:v>
                </c:pt>
                <c:pt idx="4">
                  <c:v>169.5447409733124</c:v>
                </c:pt>
                <c:pt idx="5">
                  <c:v>143.37869233322269</c:v>
                </c:pt>
                <c:pt idx="6">
                  <c:v>125</c:v>
                </c:pt>
                <c:pt idx="7">
                  <c:v>111.42636058808357</c:v>
                </c:pt>
                <c:pt idx="8">
                  <c:v>101.02899906454631</c:v>
                </c:pt>
                <c:pt idx="9">
                  <c:v>92.843326885880089</c:v>
                </c:pt>
                <c:pt idx="10">
                  <c:v>86.261980830670936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86688112"/>
        <c:axId val="1086696272"/>
      </c:scatterChart>
      <c:valAx>
        <c:axId val="1086688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6696272"/>
        <c:crosses val="autoZero"/>
        <c:crossBetween val="midCat"/>
      </c:valAx>
      <c:valAx>
        <c:axId val="1086696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66881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Sheet7!$O$6</c:f>
              <c:strCache>
                <c:ptCount val="1"/>
                <c:pt idx="0">
                  <c:v>max 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Sheet7!$M$7:$M$17</c:f>
              <c:numCache>
                <c:formatCode>General</c:formatCode>
                <c:ptCount val="11"/>
                <c:pt idx="0">
                  <c:v>0</c:v>
                </c:pt>
                <c:pt idx="1">
                  <c:v>1E-3</c:v>
                </c:pt>
                <c:pt idx="2">
                  <c:v>2E-3</c:v>
                </c:pt>
                <c:pt idx="3">
                  <c:v>3.0000000000000001E-3</c:v>
                </c:pt>
                <c:pt idx="4">
                  <c:v>4.0000000000000001E-3</c:v>
                </c:pt>
                <c:pt idx="5">
                  <c:v>5.0000000000000001E-3</c:v>
                </c:pt>
                <c:pt idx="6">
                  <c:v>6.0000000000000001E-3</c:v>
                </c:pt>
                <c:pt idx="7">
                  <c:v>7.0000000000000001E-3</c:v>
                </c:pt>
                <c:pt idx="8">
                  <c:v>8.0000000000000002E-3</c:v>
                </c:pt>
                <c:pt idx="9">
                  <c:v>8.9999999999999993E-3</c:v>
                </c:pt>
                <c:pt idx="10">
                  <c:v>0.01</c:v>
                </c:pt>
              </c:numCache>
            </c:numRef>
          </c:xVal>
          <c:yVal>
            <c:numRef>
              <c:f>Sheet7!$O$7:$O$17</c:f>
              <c:numCache>
                <c:formatCode>0.00E+00</c:formatCode>
                <c:ptCount val="11"/>
                <c:pt idx="0">
                  <c:v>382.16560509554142</c:v>
                </c:pt>
                <c:pt idx="1">
                  <c:v>407.75516666024657</c:v>
                </c:pt>
                <c:pt idx="2">
                  <c:v>422.23424350807147</c:v>
                </c:pt>
                <c:pt idx="3">
                  <c:v>429.1141155693856</c:v>
                </c:pt>
                <c:pt idx="4">
                  <c:v>431.21028080083903</c:v>
                </c:pt>
                <c:pt idx="5">
                  <c:v>430.43346102170398</c:v>
                </c:pt>
                <c:pt idx="6">
                  <c:v>427.99389880383194</c:v>
                </c:pt>
                <c:pt idx="7">
                  <c:v>424.63702093675164</c:v>
                </c:pt>
                <c:pt idx="8">
                  <c:v>420.8169535204463</c:v>
                </c:pt>
                <c:pt idx="9">
                  <c:v>416.80872298775915</c:v>
                </c:pt>
                <c:pt idx="10">
                  <c:v>412.77755808078859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86696816"/>
        <c:axId val="1086675600"/>
      </c:scatterChart>
      <c:valAx>
        <c:axId val="10866968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6675600"/>
        <c:crosses val="autoZero"/>
        <c:crossBetween val="midCat"/>
      </c:valAx>
      <c:valAx>
        <c:axId val="1086675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66968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Sheet7!$B$6</c:f>
              <c:strCache>
                <c:ptCount val="1"/>
                <c:pt idx="0">
                  <c:v>quad term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Sheet7!$A$7:$A$17</c:f>
              <c:numCache>
                <c:formatCode>General</c:formatCode>
                <c:ptCount val="11"/>
                <c:pt idx="0">
                  <c:v>0</c:v>
                </c:pt>
                <c:pt idx="1">
                  <c:v>1E-3</c:v>
                </c:pt>
                <c:pt idx="2">
                  <c:v>2E-3</c:v>
                </c:pt>
                <c:pt idx="3">
                  <c:v>3.0000000000000001E-3</c:v>
                </c:pt>
                <c:pt idx="4">
                  <c:v>4.0000000000000001E-3</c:v>
                </c:pt>
                <c:pt idx="5">
                  <c:v>5.0000000000000001E-3</c:v>
                </c:pt>
                <c:pt idx="6">
                  <c:v>6.0000000000000001E-3</c:v>
                </c:pt>
                <c:pt idx="7">
                  <c:v>7.0000000000000001E-3</c:v>
                </c:pt>
                <c:pt idx="8">
                  <c:v>8.0000000000000002E-3</c:v>
                </c:pt>
                <c:pt idx="9">
                  <c:v>8.9999999999999993E-3</c:v>
                </c:pt>
                <c:pt idx="10">
                  <c:v>0.01</c:v>
                </c:pt>
              </c:numCache>
            </c:numRef>
          </c:xVal>
          <c:yVal>
            <c:numRef>
              <c:f>Sheet7!$B$7:$B$17</c:f>
              <c:numCache>
                <c:formatCode>0.00E+00</c:formatCode>
                <c:ptCount val="11"/>
                <c:pt idx="0">
                  <c:v>13000000</c:v>
                </c:pt>
                <c:pt idx="1">
                  <c:v>16361111.111111112</c:v>
                </c:pt>
                <c:pt idx="2">
                  <c:v>19111111.111111112</c:v>
                </c:pt>
                <c:pt idx="3">
                  <c:v>21250000</c:v>
                </c:pt>
                <c:pt idx="4">
                  <c:v>22777777.777777776</c:v>
                </c:pt>
                <c:pt idx="5">
                  <c:v>23694444.444444444</c:v>
                </c:pt>
                <c:pt idx="6">
                  <c:v>24000000</c:v>
                </c:pt>
                <c:pt idx="7">
                  <c:v>23694444.444444444</c:v>
                </c:pt>
                <c:pt idx="8">
                  <c:v>22777777.777777776</c:v>
                </c:pt>
                <c:pt idx="9">
                  <c:v>21250000</c:v>
                </c:pt>
                <c:pt idx="10">
                  <c:v>19111111.111111112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86679408"/>
        <c:axId val="1086694640"/>
      </c:scatterChart>
      <c:valAx>
        <c:axId val="10866794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6694640"/>
        <c:crosses val="autoZero"/>
        <c:crossBetween val="midCat"/>
      </c:valAx>
      <c:valAx>
        <c:axId val="1086694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66794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1"/>
          <c:order val="0"/>
          <c:tx>
            <c:strRef>
              <c:f>Sheet8!$B$1</c:f>
              <c:strCache>
                <c:ptCount val="1"/>
                <c:pt idx="0">
                  <c:v>damage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Sheet8!$A$2:$A$12</c:f>
              <c:numCache>
                <c:formatCode>General</c:formatCode>
                <c:ptCount val="11"/>
                <c:pt idx="0">
                  <c:v>0</c:v>
                </c:pt>
                <c:pt idx="1">
                  <c:v>1E-3</c:v>
                </c:pt>
                <c:pt idx="2">
                  <c:v>2E-3</c:v>
                </c:pt>
                <c:pt idx="3">
                  <c:v>3.0000000000000001E-3</c:v>
                </c:pt>
                <c:pt idx="4">
                  <c:v>4.0000000000000001E-3</c:v>
                </c:pt>
                <c:pt idx="5">
                  <c:v>5.0000000000000001E-3</c:v>
                </c:pt>
                <c:pt idx="6">
                  <c:v>6.0000000000000001E-3</c:v>
                </c:pt>
                <c:pt idx="7">
                  <c:v>7.0000000000000001E-3</c:v>
                </c:pt>
                <c:pt idx="8">
                  <c:v>8.0000000000000002E-3</c:v>
                </c:pt>
                <c:pt idx="9">
                  <c:v>8.9999999999999993E-3</c:v>
                </c:pt>
                <c:pt idx="10">
                  <c:v>0.01</c:v>
                </c:pt>
              </c:numCache>
            </c:numRef>
          </c:xVal>
          <c:yVal>
            <c:numRef>
              <c:f>Sheet8!$B$2:$B$12</c:f>
              <c:numCache>
                <c:formatCode>General</c:formatCode>
                <c:ptCount val="11"/>
                <c:pt idx="0">
                  <c:v>0</c:v>
                </c:pt>
                <c:pt idx="1">
                  <c:v>0.25498240781573556</c:v>
                </c:pt>
                <c:pt idx="2">
                  <c:v>0.46677503572176104</c:v>
                </c:pt>
                <c:pt idx="3">
                  <c:v>0.61390629321041623</c:v>
                </c:pt>
                <c:pt idx="4">
                  <c:v>0.71615475816802387</c:v>
                </c:pt>
                <c:pt idx="5">
                  <c:v>0.78723781154191819</c:v>
                </c:pt>
                <c:pt idx="6">
                  <c:v>0.83667257577916632</c:v>
                </c:pt>
                <c:pt idx="7">
                  <c:v>0.87106443561749203</c:v>
                </c:pt>
                <c:pt idx="8">
                  <c:v>0.89499954121837677</c:v>
                </c:pt>
                <c:pt idx="9">
                  <c:v>0.91166323261012605</c:v>
                </c:pt>
                <c:pt idx="10">
                  <c:v>0.92326870842122255</c:v>
                </c:pt>
              </c:numCache>
            </c:numRef>
          </c:yVal>
          <c:smooth val="1"/>
        </c:ser>
        <c:ser>
          <c:idx val="0"/>
          <c:order val="1"/>
          <c:tx>
            <c:strRef>
              <c:f>Sheet8!$D$1</c:f>
              <c:strCache>
                <c:ptCount val="1"/>
                <c:pt idx="0">
                  <c:v>damage limit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Sheet8!$A$2:$A$12</c:f>
              <c:numCache>
                <c:formatCode>General</c:formatCode>
                <c:ptCount val="11"/>
                <c:pt idx="0">
                  <c:v>0</c:v>
                </c:pt>
                <c:pt idx="1">
                  <c:v>1E-3</c:v>
                </c:pt>
                <c:pt idx="2">
                  <c:v>2E-3</c:v>
                </c:pt>
                <c:pt idx="3">
                  <c:v>3.0000000000000001E-3</c:v>
                </c:pt>
                <c:pt idx="4">
                  <c:v>4.0000000000000001E-3</c:v>
                </c:pt>
                <c:pt idx="5">
                  <c:v>5.0000000000000001E-3</c:v>
                </c:pt>
                <c:pt idx="6">
                  <c:v>6.0000000000000001E-3</c:v>
                </c:pt>
                <c:pt idx="7">
                  <c:v>7.0000000000000001E-3</c:v>
                </c:pt>
                <c:pt idx="8">
                  <c:v>8.0000000000000002E-3</c:v>
                </c:pt>
                <c:pt idx="9">
                  <c:v>8.9999999999999993E-3</c:v>
                </c:pt>
                <c:pt idx="10">
                  <c:v>0.01</c:v>
                </c:pt>
              </c:numCache>
            </c:numRef>
          </c:xVal>
          <c:yVal>
            <c:numRef>
              <c:f>Sheet8!$D$2:$D$12</c:f>
              <c:numCache>
                <c:formatCode>0.00E+00</c:formatCode>
                <c:ptCount val="11"/>
                <c:pt idx="0" formatCode="General">
                  <c:v>0</c:v>
                </c:pt>
                <c:pt idx="1">
                  <c:v>0.33601921660011885</c:v>
                </c:pt>
                <c:pt idx="2" formatCode="General">
                  <c:v>0.5712767892784596</c:v>
                </c:pt>
                <c:pt idx="3" formatCode="General">
                  <c:v>0.72462638808821955</c:v>
                </c:pt>
                <c:pt idx="4" formatCode="General">
                  <c:v>0.82203696498103063</c:v>
                </c:pt>
                <c:pt idx="5" formatCode="General">
                  <c:v>0.88374197422173284</c:v>
                </c:pt>
                <c:pt idx="6" formatCode="General">
                  <c:v>0.92313143518314456</c:v>
                </c:pt>
                <c:pt idx="7" formatCode="General">
                  <c:v>0.94857445698877407</c:v>
                </c:pt>
                <c:pt idx="8" formatCode="General">
                  <c:v>0.96522144813450317</c:v>
                </c:pt>
                <c:pt idx="9" formatCode="General">
                  <c:v>0.97625008228346544</c:v>
                </c:pt>
                <c:pt idx="10" formatCode="General">
                  <c:v>0.98364128073943513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86705520"/>
        <c:axId val="1086672336"/>
      </c:scatterChart>
      <c:valAx>
        <c:axId val="10867055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6672336"/>
        <c:crosses val="autoZero"/>
        <c:crossBetween val="midCat"/>
      </c:valAx>
      <c:valAx>
        <c:axId val="1086672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67055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Sheet8!$C$1</c:f>
              <c:strCache>
                <c:ptCount val="1"/>
                <c:pt idx="0">
                  <c:v>stress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Sheet8!$A$2:$A$12</c:f>
              <c:numCache>
                <c:formatCode>General</c:formatCode>
                <c:ptCount val="11"/>
                <c:pt idx="0">
                  <c:v>0</c:v>
                </c:pt>
                <c:pt idx="1">
                  <c:v>1E-3</c:v>
                </c:pt>
                <c:pt idx="2">
                  <c:v>2E-3</c:v>
                </c:pt>
                <c:pt idx="3">
                  <c:v>3.0000000000000001E-3</c:v>
                </c:pt>
                <c:pt idx="4">
                  <c:v>4.0000000000000001E-3</c:v>
                </c:pt>
                <c:pt idx="5">
                  <c:v>5.0000000000000001E-3</c:v>
                </c:pt>
                <c:pt idx="6">
                  <c:v>6.0000000000000001E-3</c:v>
                </c:pt>
                <c:pt idx="7">
                  <c:v>7.0000000000000001E-3</c:v>
                </c:pt>
                <c:pt idx="8">
                  <c:v>8.0000000000000002E-3</c:v>
                </c:pt>
                <c:pt idx="9">
                  <c:v>8.9999999999999993E-3</c:v>
                </c:pt>
                <c:pt idx="10">
                  <c:v>0.01</c:v>
                </c:pt>
              </c:numCache>
            </c:numRef>
          </c:xVal>
          <c:yVal>
            <c:numRef>
              <c:f>Sheet8!$C$2:$C$12</c:f>
              <c:numCache>
                <c:formatCode>0.00E+00</c:formatCode>
                <c:ptCount val="11"/>
                <c:pt idx="0" formatCode="General">
                  <c:v>31400000</c:v>
                </c:pt>
                <c:pt idx="1">
                  <c:v>23850564.669264011</c:v>
                </c:pt>
                <c:pt idx="2" formatCode="General">
                  <c:v>18116224.04594728</c:v>
                </c:pt>
                <c:pt idx="3" formatCode="General">
                  <c:v>13760578.763399404</c:v>
                </c:pt>
                <c:pt idx="4" formatCode="General">
                  <c:v>10452152.028119698</c:v>
                </c:pt>
                <c:pt idx="5" formatCode="General">
                  <c:v>7939163.3082690388</c:v>
                </c:pt>
                <c:pt idx="6" formatCode="General">
                  <c:v>6030367.1306916783</c:v>
                </c:pt>
                <c:pt idx="7" formatCode="General">
                  <c:v>4580498.7652855394</c:v>
                </c:pt>
                <c:pt idx="8" formatCode="General">
                  <c:v>3479219.1725772833</c:v>
                </c:pt>
                <c:pt idx="9" formatCode="General">
                  <c:v>2642717.8940795464</c:v>
                </c:pt>
                <c:pt idx="10" formatCode="General">
                  <c:v>2007334.8418906177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86706608"/>
        <c:axId val="1086675056"/>
      </c:scatterChart>
      <c:valAx>
        <c:axId val="108670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6675056"/>
        <c:crosses val="autoZero"/>
        <c:crossBetween val="midCat"/>
      </c:valAx>
      <c:valAx>
        <c:axId val="1086675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67066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Sheet8!$F$1</c:f>
              <c:strCache>
                <c:ptCount val="1"/>
                <c:pt idx="0">
                  <c:v>plastic strain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Sheet8!$A$2:$A$12</c:f>
              <c:numCache>
                <c:formatCode>General</c:formatCode>
                <c:ptCount val="11"/>
                <c:pt idx="0">
                  <c:v>0</c:v>
                </c:pt>
                <c:pt idx="1">
                  <c:v>1E-3</c:v>
                </c:pt>
                <c:pt idx="2">
                  <c:v>2E-3</c:v>
                </c:pt>
                <c:pt idx="3">
                  <c:v>3.0000000000000001E-3</c:v>
                </c:pt>
                <c:pt idx="4">
                  <c:v>4.0000000000000001E-3</c:v>
                </c:pt>
                <c:pt idx="5">
                  <c:v>5.0000000000000001E-3</c:v>
                </c:pt>
                <c:pt idx="6">
                  <c:v>6.0000000000000001E-3</c:v>
                </c:pt>
                <c:pt idx="7">
                  <c:v>7.0000000000000001E-3</c:v>
                </c:pt>
                <c:pt idx="8">
                  <c:v>8.0000000000000002E-3</c:v>
                </c:pt>
                <c:pt idx="9">
                  <c:v>8.9999999999999993E-3</c:v>
                </c:pt>
                <c:pt idx="10">
                  <c:v>0.01</c:v>
                </c:pt>
              </c:numCache>
            </c:numRef>
          </c:xVal>
          <c:yVal>
            <c:numRef>
              <c:f>Sheet8!$F$2:$F$12</c:f>
              <c:numCache>
                <c:formatCode>0.00E+00</c:formatCode>
                <c:ptCount val="11"/>
                <c:pt idx="0">
                  <c:v>0</c:v>
                </c:pt>
                <c:pt idx="1">
                  <c:v>3.2370669922163946E-4</c:v>
                </c:pt>
                <c:pt idx="2">
                  <c:v>6.8611437847532425E-4</c:v>
                </c:pt>
                <c:pt idx="3">
                  <c:v>1.1872463302507283E-3</c:v>
                </c:pt>
                <c:pt idx="4">
                  <c:v>1.8151395098819031E-3</c:v>
                </c:pt>
                <c:pt idx="5">
                  <c:v>2.5662332027411505E-3</c:v>
                </c:pt>
                <c:pt idx="6">
                  <c:v>3.4406310085859566E-3</c:v>
                </c:pt>
                <c:pt idx="7">
                  <c:v>4.436206411385952E-3</c:v>
                </c:pt>
                <c:pt idx="8">
                  <c:v>5.5429944706663513E-3</c:v>
                </c:pt>
                <c:pt idx="9">
                  <c:v>6.7403744707756445E-3</c:v>
                </c:pt>
                <c:pt idx="10">
                  <c:v>7.9989029079936685E-3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4460848"/>
        <c:axId val="1182722944"/>
      </c:scatterChart>
      <c:valAx>
        <c:axId val="11844608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2722944"/>
        <c:crosses val="autoZero"/>
        <c:crossBetween val="midCat"/>
      </c:valAx>
      <c:valAx>
        <c:axId val="11827229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44608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1"/>
          <c:order val="0"/>
          <c:tx>
            <c:strRef>
              <c:f>Sheet9!$B$1</c:f>
              <c:strCache>
                <c:ptCount val="1"/>
                <c:pt idx="0">
                  <c:v>damage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Sheet9!$A$2:$A$12</c:f>
              <c:numCache>
                <c:formatCode>General</c:formatCode>
                <c:ptCount val="11"/>
                <c:pt idx="0">
                  <c:v>0</c:v>
                </c:pt>
                <c:pt idx="1">
                  <c:v>1E-3</c:v>
                </c:pt>
                <c:pt idx="2">
                  <c:v>2E-3</c:v>
                </c:pt>
                <c:pt idx="3">
                  <c:v>3.0000000000000001E-3</c:v>
                </c:pt>
                <c:pt idx="4">
                  <c:v>4.0000000000000001E-3</c:v>
                </c:pt>
                <c:pt idx="5">
                  <c:v>5.0000000000000001E-3</c:v>
                </c:pt>
                <c:pt idx="6">
                  <c:v>6.0000000000000001E-3</c:v>
                </c:pt>
                <c:pt idx="7">
                  <c:v>7.0000000000000001E-3</c:v>
                </c:pt>
                <c:pt idx="8">
                  <c:v>8.0000000000000002E-3</c:v>
                </c:pt>
                <c:pt idx="9">
                  <c:v>8.9999999999999993E-3</c:v>
                </c:pt>
                <c:pt idx="10">
                  <c:v>0.01</c:v>
                </c:pt>
              </c:numCache>
            </c:numRef>
          </c:xVal>
          <c:yVal>
            <c:numRef>
              <c:f>Sheet9!$B$2:$B$12</c:f>
              <c:numCache>
                <c:formatCode>General</c:formatCode>
                <c:ptCount val="11"/>
                <c:pt idx="0">
                  <c:v>0</c:v>
                </c:pt>
                <c:pt idx="1">
                  <c:v>9.2800000000000001E-3</c:v>
                </c:pt>
                <c:pt idx="2">
                  <c:v>1.856E-2</c:v>
                </c:pt>
                <c:pt idx="3">
                  <c:v>2.784E-2</c:v>
                </c:pt>
                <c:pt idx="4">
                  <c:v>3.712E-2</c:v>
                </c:pt>
                <c:pt idx="5">
                  <c:v>4.6399999999999997E-2</c:v>
                </c:pt>
                <c:pt idx="6">
                  <c:v>5.568E-2</c:v>
                </c:pt>
                <c:pt idx="7">
                  <c:v>6.495999999999999E-2</c:v>
                </c:pt>
                <c:pt idx="8">
                  <c:v>7.424E-2</c:v>
                </c:pt>
                <c:pt idx="9">
                  <c:v>8.3519999999999983E-2</c:v>
                </c:pt>
                <c:pt idx="10">
                  <c:v>9.2799999999999994E-2</c:v>
                </c:pt>
              </c:numCache>
            </c:numRef>
          </c:yVal>
          <c:smooth val="1"/>
        </c:ser>
        <c:ser>
          <c:idx val="0"/>
          <c:order val="1"/>
          <c:tx>
            <c:strRef>
              <c:f>Sheet9!$D$1</c:f>
              <c:strCache>
                <c:ptCount val="1"/>
                <c:pt idx="0">
                  <c:v>damage limit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Sheet9!$A$2:$A$12</c:f>
              <c:numCache>
                <c:formatCode>General</c:formatCode>
                <c:ptCount val="11"/>
                <c:pt idx="0">
                  <c:v>0</c:v>
                </c:pt>
                <c:pt idx="1">
                  <c:v>1E-3</c:v>
                </c:pt>
                <c:pt idx="2">
                  <c:v>2E-3</c:v>
                </c:pt>
                <c:pt idx="3">
                  <c:v>3.0000000000000001E-3</c:v>
                </c:pt>
                <c:pt idx="4">
                  <c:v>4.0000000000000001E-3</c:v>
                </c:pt>
                <c:pt idx="5">
                  <c:v>5.0000000000000001E-3</c:v>
                </c:pt>
                <c:pt idx="6">
                  <c:v>6.0000000000000001E-3</c:v>
                </c:pt>
                <c:pt idx="7">
                  <c:v>7.0000000000000001E-3</c:v>
                </c:pt>
                <c:pt idx="8">
                  <c:v>8.0000000000000002E-3</c:v>
                </c:pt>
                <c:pt idx="9">
                  <c:v>8.9999999999999993E-3</c:v>
                </c:pt>
                <c:pt idx="10">
                  <c:v>0.01</c:v>
                </c:pt>
              </c:numCache>
            </c:numRef>
          </c:xVal>
          <c:yVal>
            <c:numRef>
              <c:f>Sheet9!$D$2:$D$12</c:f>
              <c:numCache>
                <c:formatCode>0.00E+00</c:formatCode>
                <c:ptCount val="11"/>
                <c:pt idx="0">
                  <c:v>0</c:v>
                </c:pt>
                <c:pt idx="1">
                  <c:v>0.34047382607462051</c:v>
                </c:pt>
                <c:pt idx="2" formatCode="General">
                  <c:v>0.41746390676639417</c:v>
                </c:pt>
                <c:pt idx="3" formatCode="General">
                  <c:v>0.45149557910578791</c:v>
                </c:pt>
                <c:pt idx="4" formatCode="General">
                  <c:v>0.47068052559325357</c:v>
                </c:pt>
                <c:pt idx="5" formatCode="General">
                  <c:v>0.48299456631112897</c:v>
                </c:pt>
                <c:pt idx="6" formatCode="General">
                  <c:v>0.49156823922987647</c:v>
                </c:pt>
                <c:pt idx="7" formatCode="General">
                  <c:v>0.49788104199389505</c:v>
                </c:pt>
                <c:pt idx="8" formatCode="General">
                  <c:v>0.50272308336824467</c:v>
                </c:pt>
                <c:pt idx="9" formatCode="General">
                  <c:v>0.50655472432635251</c:v>
                </c:pt>
                <c:pt idx="10" formatCode="General">
                  <c:v>0.50966234869399019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86685392"/>
        <c:axId val="1086677776"/>
      </c:scatterChart>
      <c:valAx>
        <c:axId val="10866853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6677776"/>
        <c:crosses val="autoZero"/>
        <c:crossBetween val="midCat"/>
      </c:valAx>
      <c:valAx>
        <c:axId val="1086677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66853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Sheet9!$C$1</c:f>
              <c:strCache>
                <c:ptCount val="1"/>
                <c:pt idx="0">
                  <c:v>stress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Sheet9!$A$2:$A$12</c:f>
              <c:numCache>
                <c:formatCode>General</c:formatCode>
                <c:ptCount val="11"/>
                <c:pt idx="0">
                  <c:v>0</c:v>
                </c:pt>
                <c:pt idx="1">
                  <c:v>1E-3</c:v>
                </c:pt>
                <c:pt idx="2">
                  <c:v>2E-3</c:v>
                </c:pt>
                <c:pt idx="3">
                  <c:v>3.0000000000000001E-3</c:v>
                </c:pt>
                <c:pt idx="4">
                  <c:v>4.0000000000000001E-3</c:v>
                </c:pt>
                <c:pt idx="5">
                  <c:v>5.0000000000000001E-3</c:v>
                </c:pt>
                <c:pt idx="6">
                  <c:v>6.0000000000000001E-3</c:v>
                </c:pt>
                <c:pt idx="7">
                  <c:v>7.0000000000000001E-3</c:v>
                </c:pt>
                <c:pt idx="8">
                  <c:v>8.0000000000000002E-3</c:v>
                </c:pt>
                <c:pt idx="9">
                  <c:v>8.9999999999999993E-3</c:v>
                </c:pt>
                <c:pt idx="10">
                  <c:v>0.01</c:v>
                </c:pt>
              </c:numCache>
            </c:numRef>
          </c:xVal>
          <c:yVal>
            <c:numRef>
              <c:f>Sheet9!$C$2:$C$12</c:f>
              <c:numCache>
                <c:formatCode>0.00E+00</c:formatCode>
                <c:ptCount val="11"/>
                <c:pt idx="0">
                  <c:v>13000000</c:v>
                </c:pt>
                <c:pt idx="1">
                  <c:v>23245000</c:v>
                </c:pt>
                <c:pt idx="2">
                  <c:v>33490000</c:v>
                </c:pt>
                <c:pt idx="3">
                  <c:v>43735000</c:v>
                </c:pt>
                <c:pt idx="4">
                  <c:v>53980000</c:v>
                </c:pt>
                <c:pt idx="5">
                  <c:v>64225000</c:v>
                </c:pt>
                <c:pt idx="6">
                  <c:v>74470000</c:v>
                </c:pt>
                <c:pt idx="7">
                  <c:v>84715000</c:v>
                </c:pt>
                <c:pt idx="8">
                  <c:v>94960000</c:v>
                </c:pt>
                <c:pt idx="9">
                  <c:v>105205000</c:v>
                </c:pt>
                <c:pt idx="10">
                  <c:v>115450000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86684848"/>
        <c:axId val="1086687568"/>
      </c:scatterChart>
      <c:valAx>
        <c:axId val="10866848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6687568"/>
        <c:crosses val="autoZero"/>
        <c:crossBetween val="midCat"/>
      </c:valAx>
      <c:valAx>
        <c:axId val="1086687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66848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Sheet9!$F$1</c:f>
              <c:strCache>
                <c:ptCount val="1"/>
                <c:pt idx="0">
                  <c:v>plastic strain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Sheet9!$A$2:$A$12</c:f>
              <c:numCache>
                <c:formatCode>General</c:formatCode>
                <c:ptCount val="11"/>
                <c:pt idx="0">
                  <c:v>0</c:v>
                </c:pt>
                <c:pt idx="1">
                  <c:v>1E-3</c:v>
                </c:pt>
                <c:pt idx="2">
                  <c:v>2E-3</c:v>
                </c:pt>
                <c:pt idx="3">
                  <c:v>3.0000000000000001E-3</c:v>
                </c:pt>
                <c:pt idx="4">
                  <c:v>4.0000000000000001E-3</c:v>
                </c:pt>
                <c:pt idx="5">
                  <c:v>5.0000000000000001E-3</c:v>
                </c:pt>
                <c:pt idx="6">
                  <c:v>6.0000000000000001E-3</c:v>
                </c:pt>
                <c:pt idx="7">
                  <c:v>7.0000000000000001E-3</c:v>
                </c:pt>
                <c:pt idx="8">
                  <c:v>8.0000000000000002E-3</c:v>
                </c:pt>
                <c:pt idx="9">
                  <c:v>8.9999999999999993E-3</c:v>
                </c:pt>
                <c:pt idx="10">
                  <c:v>0.01</c:v>
                </c:pt>
              </c:numCache>
            </c:numRef>
          </c:xVal>
          <c:yVal>
            <c:numRef>
              <c:f>Sheet9!$F$2:$F$12</c:f>
              <c:numCache>
                <c:formatCode>0.00E+00</c:formatCode>
                <c:ptCount val="11"/>
                <c:pt idx="0">
                  <c:v>0</c:v>
                </c:pt>
                <c:pt idx="1">
                  <c:v>9.8185548557278208E-4</c:v>
                </c:pt>
                <c:pt idx="2">
                  <c:v>1.9472225845016847E-3</c:v>
                </c:pt>
                <c:pt idx="3">
                  <c:v>2.8956291145490454E-3</c:v>
                </c:pt>
                <c:pt idx="4">
                  <c:v>3.8265846903733245E-3</c:v>
                </c:pt>
                <c:pt idx="5">
                  <c:v>4.7395798378076061E-3</c:v>
                </c:pt>
                <c:pt idx="6">
                  <c:v>5.6340850559132502E-3</c:v>
                </c:pt>
                <c:pt idx="7">
                  <c:v>6.5095498231804699E-3</c:v>
                </c:pt>
                <c:pt idx="8">
                  <c:v>7.3654015439566772E-3</c:v>
                </c:pt>
                <c:pt idx="9">
                  <c:v>8.2010444308659204E-3</c:v>
                </c:pt>
                <c:pt idx="10">
                  <c:v>9.0158583186360965E-3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2721312"/>
        <c:axId val="1182720224"/>
      </c:scatterChart>
      <c:valAx>
        <c:axId val="11827213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2720224"/>
        <c:crosses val="autoZero"/>
        <c:crossBetween val="midCat"/>
      </c:valAx>
      <c:valAx>
        <c:axId val="1182720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27213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6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.xml"/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19050</xdr:colOff>
      <xdr:row>0</xdr:row>
      <xdr:rowOff>0</xdr:rowOff>
    </xdr:from>
    <xdr:to>
      <xdr:col>20</xdr:col>
      <xdr:colOff>466725</xdr:colOff>
      <xdr:row>23</xdr:row>
      <xdr:rowOff>19050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138112</xdr:colOff>
      <xdr:row>23</xdr:row>
      <xdr:rowOff>104775</xdr:rowOff>
    </xdr:from>
    <xdr:to>
      <xdr:col>21</xdr:col>
      <xdr:colOff>104775</xdr:colOff>
      <xdr:row>38</xdr:row>
      <xdr:rowOff>76201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266700</xdr:colOff>
      <xdr:row>23</xdr:row>
      <xdr:rowOff>66675</xdr:rowOff>
    </xdr:from>
    <xdr:to>
      <xdr:col>12</xdr:col>
      <xdr:colOff>80963</xdr:colOff>
      <xdr:row>38</xdr:row>
      <xdr:rowOff>38101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414337</xdr:colOff>
      <xdr:row>14</xdr:row>
      <xdr:rowOff>114300</xdr:rowOff>
    </xdr:from>
    <xdr:to>
      <xdr:col>7</xdr:col>
      <xdr:colOff>795337</xdr:colOff>
      <xdr:row>17</xdr:row>
      <xdr:rowOff>85725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309562</xdr:colOff>
      <xdr:row>17</xdr:row>
      <xdr:rowOff>123825</xdr:rowOff>
    </xdr:from>
    <xdr:to>
      <xdr:col>10</xdr:col>
      <xdr:colOff>4762</xdr:colOff>
      <xdr:row>32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290512</xdr:colOff>
      <xdr:row>4</xdr:row>
      <xdr:rowOff>114300</xdr:rowOff>
    </xdr:from>
    <xdr:to>
      <xdr:col>11</xdr:col>
      <xdr:colOff>595312</xdr:colOff>
      <xdr:row>19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595312</xdr:colOff>
      <xdr:row>0</xdr:row>
      <xdr:rowOff>0</xdr:rowOff>
    </xdr:from>
    <xdr:to>
      <xdr:col>11</xdr:col>
      <xdr:colOff>290512</xdr:colOff>
      <xdr:row>14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590550</xdr:colOff>
      <xdr:row>14</xdr:row>
      <xdr:rowOff>85725</xdr:rowOff>
    </xdr:from>
    <xdr:to>
      <xdr:col>11</xdr:col>
      <xdr:colOff>285750</xdr:colOff>
      <xdr:row>28</xdr:row>
      <xdr:rowOff>161925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4762</xdr:colOff>
      <xdr:row>0</xdr:row>
      <xdr:rowOff>0</xdr:rowOff>
    </xdr:from>
    <xdr:to>
      <xdr:col>11</xdr:col>
      <xdr:colOff>309562</xdr:colOff>
      <xdr:row>14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0</xdr:colOff>
      <xdr:row>14</xdr:row>
      <xdr:rowOff>85725</xdr:rowOff>
    </xdr:from>
    <xdr:to>
      <xdr:col>11</xdr:col>
      <xdr:colOff>304800</xdr:colOff>
      <xdr:row>28</xdr:row>
      <xdr:rowOff>161925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71437</xdr:colOff>
      <xdr:row>5</xdr:row>
      <xdr:rowOff>66675</xdr:rowOff>
    </xdr:from>
    <xdr:to>
      <xdr:col>10</xdr:col>
      <xdr:colOff>376237</xdr:colOff>
      <xdr:row>19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238125</xdr:colOff>
      <xdr:row>4</xdr:row>
      <xdr:rowOff>171450</xdr:rowOff>
    </xdr:from>
    <xdr:to>
      <xdr:col>22</xdr:col>
      <xdr:colOff>542925</xdr:colOff>
      <xdr:row>19</xdr:row>
      <xdr:rowOff>57150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76200</xdr:colOff>
      <xdr:row>20</xdr:row>
      <xdr:rowOff>104775</xdr:rowOff>
    </xdr:from>
    <xdr:to>
      <xdr:col>10</xdr:col>
      <xdr:colOff>381000</xdr:colOff>
      <xdr:row>34</xdr:row>
      <xdr:rowOff>180975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114300</xdr:colOff>
      <xdr:row>11</xdr:row>
      <xdr:rowOff>180975</xdr:rowOff>
    </xdr:from>
    <xdr:to>
      <xdr:col>9</xdr:col>
      <xdr:colOff>419100</xdr:colOff>
      <xdr:row>26</xdr:row>
      <xdr:rowOff>66675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142875</xdr:colOff>
      <xdr:row>24</xdr:row>
      <xdr:rowOff>19050</xdr:rowOff>
    </xdr:from>
    <xdr:to>
      <xdr:col>9</xdr:col>
      <xdr:colOff>447675</xdr:colOff>
      <xdr:row>38</xdr:row>
      <xdr:rowOff>95250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119062</xdr:colOff>
      <xdr:row>1</xdr:row>
      <xdr:rowOff>23812</xdr:rowOff>
    </xdr:from>
    <xdr:to>
      <xdr:col>15</xdr:col>
      <xdr:colOff>423862</xdr:colOff>
      <xdr:row>15</xdr:row>
      <xdr:rowOff>100012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571500</xdr:colOff>
      <xdr:row>4</xdr:row>
      <xdr:rowOff>38100</xdr:rowOff>
    </xdr:from>
    <xdr:to>
      <xdr:col>12</xdr:col>
      <xdr:colOff>266700</xdr:colOff>
      <xdr:row>18</xdr:row>
      <xdr:rowOff>114300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276225</xdr:colOff>
      <xdr:row>19</xdr:row>
      <xdr:rowOff>114300</xdr:rowOff>
    </xdr:from>
    <xdr:to>
      <xdr:col>10</xdr:col>
      <xdr:colOff>581025</xdr:colOff>
      <xdr:row>34</xdr:row>
      <xdr:rowOff>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233362</xdr:colOff>
      <xdr:row>19</xdr:row>
      <xdr:rowOff>147637</xdr:rowOff>
    </xdr:from>
    <xdr:to>
      <xdr:col>18</xdr:col>
      <xdr:colOff>538162</xdr:colOff>
      <xdr:row>34</xdr:row>
      <xdr:rowOff>33337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output" connectionId="2" autoFormatId="16" applyNumberFormats="0" applyBorderFormats="0" applyFontFormats="0" applyPatternFormats="0" applyAlignmentFormats="0" applyWidthHeightFormats="0"/>
</file>

<file path=xl/queryTables/queryTable2.xml><?xml version="1.0" encoding="utf-8"?>
<queryTable xmlns="http://schemas.openxmlformats.org/spreadsheetml/2006/main" name="observationUDEC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102"/>
  <sheetViews>
    <sheetView tabSelected="1" topLeftCell="G1" zoomScaleNormal="100" workbookViewId="0">
      <selection activeCell="F1" sqref="F1:F1048576"/>
    </sheetView>
  </sheetViews>
  <sheetFormatPr defaultRowHeight="15" x14ac:dyDescent="0.25"/>
  <cols>
    <col min="1" max="1" width="5.140625" bestFit="1" customWidth="1"/>
    <col min="2" max="2" width="12.7109375" bestFit="1" customWidth="1"/>
    <col min="3" max="3" width="12.7109375" customWidth="1"/>
    <col min="4" max="4" width="8.5703125" bestFit="1" customWidth="1"/>
    <col min="5" max="6" width="12.7109375" customWidth="1"/>
    <col min="7" max="7" width="4.85546875" bestFit="1" customWidth="1"/>
  </cols>
  <sheetData>
    <row r="1" spans="1:7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25">
      <c r="A2">
        <v>0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</row>
    <row r="3" spans="1:7" x14ac:dyDescent="0.25">
      <c r="A3">
        <v>0.1</v>
      </c>
      <c r="B3">
        <v>-1249.18269465</v>
      </c>
      <c r="C3">
        <v>7003087.6213300005</v>
      </c>
      <c r="D3" s="1">
        <v>0</v>
      </c>
      <c r="E3" s="1">
        <v>-3.06142974365E-4</v>
      </c>
      <c r="F3" s="1">
        <v>4.9937229679000001E-4</v>
      </c>
      <c r="G3">
        <v>0</v>
      </c>
    </row>
    <row r="4" spans="1:7" x14ac:dyDescent="0.25">
      <c r="A4">
        <v>0.2</v>
      </c>
      <c r="B4">
        <v>-2498.3653893000001</v>
      </c>
      <c r="C4">
        <v>14006175.242699999</v>
      </c>
      <c r="D4" s="1">
        <v>0</v>
      </c>
      <c r="E4">
        <v>-6.1228594873000001E-4</v>
      </c>
      <c r="F4">
        <v>9.9874459358000002E-4</v>
      </c>
      <c r="G4">
        <v>0</v>
      </c>
    </row>
    <row r="5" spans="1:7" x14ac:dyDescent="0.25">
      <c r="A5">
        <v>0.3</v>
      </c>
      <c r="B5">
        <v>-3747.5480839500001</v>
      </c>
      <c r="C5">
        <v>21009262.864</v>
      </c>
      <c r="D5" s="1">
        <v>0</v>
      </c>
      <c r="E5">
        <v>-9.1842892309499996E-4</v>
      </c>
      <c r="F5" s="1">
        <v>1.49811689037E-3</v>
      </c>
      <c r="G5">
        <v>0</v>
      </c>
    </row>
    <row r="6" spans="1:7" x14ac:dyDescent="0.25">
      <c r="A6">
        <v>0.4</v>
      </c>
      <c r="B6">
        <v>-4996.7307786000001</v>
      </c>
      <c r="C6">
        <v>28012350.485300001</v>
      </c>
      <c r="D6" s="1">
        <v>0</v>
      </c>
      <c r="E6">
        <v>-1.22457189746E-3</v>
      </c>
      <c r="F6">
        <v>1.99748918716E-3</v>
      </c>
      <c r="G6">
        <v>0</v>
      </c>
    </row>
    <row r="7" spans="1:7" x14ac:dyDescent="0.25">
      <c r="A7">
        <v>0.5</v>
      </c>
      <c r="B7">
        <v>-6245.9134732499997</v>
      </c>
      <c r="C7">
        <v>35015438.106600001</v>
      </c>
      <c r="D7" s="1">
        <v>0</v>
      </c>
      <c r="E7">
        <v>-1.5307148718199999E-3</v>
      </c>
      <c r="F7" s="1">
        <v>2.4968614839499998E-3</v>
      </c>
      <c r="G7">
        <v>0</v>
      </c>
    </row>
    <row r="8" spans="1:7" x14ac:dyDescent="0.25">
      <c r="A8">
        <v>0.6</v>
      </c>
      <c r="B8">
        <v>-18067.844198800001</v>
      </c>
      <c r="C8">
        <v>30558494.1644</v>
      </c>
      <c r="D8" s="1">
        <v>0</v>
      </c>
      <c r="E8" s="1">
        <v>-1.8562096639100001E-3</v>
      </c>
      <c r="F8">
        <v>2.98574885251E-3</v>
      </c>
      <c r="G8">
        <v>0</v>
      </c>
    </row>
    <row r="9" spans="1:7" x14ac:dyDescent="0.25">
      <c r="A9">
        <v>0.7</v>
      </c>
      <c r="B9">
        <v>-30003.363159</v>
      </c>
      <c r="C9">
        <v>25978429.4641</v>
      </c>
      <c r="D9" s="1">
        <v>0</v>
      </c>
      <c r="E9">
        <v>-2.1819123621E-3</v>
      </c>
      <c r="F9" s="1">
        <v>3.4745235763200002E-3</v>
      </c>
      <c r="G9">
        <v>0</v>
      </c>
    </row>
    <row r="10" spans="1:7" x14ac:dyDescent="0.25">
      <c r="A10">
        <v>0.8</v>
      </c>
      <c r="B10">
        <v>-41938.882119100002</v>
      </c>
      <c r="C10">
        <v>21398364.763799999</v>
      </c>
      <c r="D10" s="1">
        <v>0</v>
      </c>
      <c r="E10">
        <v>-2.5076150602800001E-3</v>
      </c>
      <c r="F10">
        <v>3.9632983001300004E-3</v>
      </c>
      <c r="G10">
        <v>0</v>
      </c>
    </row>
    <row r="11" spans="1:7" x14ac:dyDescent="0.25">
      <c r="A11">
        <v>0.9</v>
      </c>
      <c r="B11">
        <v>-53874.401079299998</v>
      </c>
      <c r="C11">
        <v>16818300.0634</v>
      </c>
      <c r="D11" s="1">
        <v>0</v>
      </c>
      <c r="E11">
        <v>-2.83331775847E-3</v>
      </c>
      <c r="F11" s="1">
        <v>4.4520730239400001E-3</v>
      </c>
      <c r="G11">
        <v>0</v>
      </c>
    </row>
    <row r="12" spans="1:7" x14ac:dyDescent="0.25">
      <c r="A12">
        <v>1</v>
      </c>
      <c r="B12">
        <v>-65809.920039400007</v>
      </c>
      <c r="C12">
        <v>12238235.3631</v>
      </c>
      <c r="D12" s="1">
        <v>0</v>
      </c>
      <c r="E12" s="1">
        <v>-3.15902045666E-3</v>
      </c>
      <c r="F12">
        <v>4.9408477477599997E-3</v>
      </c>
      <c r="G12">
        <v>0</v>
      </c>
    </row>
    <row r="13" spans="1:7" x14ac:dyDescent="0.25">
      <c r="A13">
        <v>1.1000000000000001</v>
      </c>
      <c r="B13">
        <v>-53509.660081299997</v>
      </c>
      <c r="C13">
        <v>10721120.3895</v>
      </c>
      <c r="D13" s="1">
        <v>0</v>
      </c>
      <c r="E13" s="1">
        <v>-2.87554373821E-3</v>
      </c>
      <c r="F13" s="1">
        <v>4.4814173699099999E-3</v>
      </c>
      <c r="G13">
        <v>0</v>
      </c>
    </row>
    <row r="14" spans="1:7" x14ac:dyDescent="0.25">
      <c r="A14">
        <v>1.2</v>
      </c>
      <c r="B14">
        <v>-40270.957063900001</v>
      </c>
      <c r="C14">
        <v>9322607.0884499997</v>
      </c>
      <c r="D14" s="1">
        <v>0</v>
      </c>
      <c r="E14">
        <v>-2.5684787456900001E-3</v>
      </c>
      <c r="F14">
        <v>3.9852711720600002E-3</v>
      </c>
      <c r="G14">
        <v>0</v>
      </c>
    </row>
    <row r="15" spans="1:7" x14ac:dyDescent="0.25">
      <c r="A15">
        <v>1.3</v>
      </c>
      <c r="B15">
        <v>-27032.254046499998</v>
      </c>
      <c r="C15">
        <v>7924093.7873600004</v>
      </c>
      <c r="D15" s="1">
        <v>0</v>
      </c>
      <c r="E15" s="1">
        <v>-2.26141375318E-3</v>
      </c>
      <c r="F15" s="1">
        <v>3.4891249742100001E-3</v>
      </c>
      <c r="G15">
        <v>0</v>
      </c>
    </row>
    <row r="16" spans="1:7" x14ac:dyDescent="0.25">
      <c r="A16">
        <v>1.4</v>
      </c>
      <c r="B16">
        <v>-13793.551029099999</v>
      </c>
      <c r="C16">
        <v>6525580.4862599997</v>
      </c>
      <c r="D16" s="1">
        <v>0</v>
      </c>
      <c r="E16" s="1">
        <v>-1.9543487606600001E-3</v>
      </c>
      <c r="F16">
        <v>2.99297877636E-3</v>
      </c>
      <c r="G16">
        <v>0</v>
      </c>
    </row>
    <row r="17" spans="1:7" x14ac:dyDescent="0.25">
      <c r="A17">
        <v>1.5</v>
      </c>
      <c r="B17">
        <v>-554.84801166499994</v>
      </c>
      <c r="C17">
        <v>5127067.1851700004</v>
      </c>
      <c r="D17" s="1">
        <v>0</v>
      </c>
      <c r="E17">
        <v>-1.64728376815E-3</v>
      </c>
      <c r="F17" s="1">
        <v>2.4968325785099999E-3</v>
      </c>
      <c r="G17">
        <v>0</v>
      </c>
    </row>
    <row r="18" spans="1:7" x14ac:dyDescent="0.25">
      <c r="A18">
        <v>1.6</v>
      </c>
      <c r="B18">
        <v>1155.900605</v>
      </c>
      <c r="C18">
        <v>2352724.2639100002</v>
      </c>
      <c r="D18" s="1">
        <v>0</v>
      </c>
      <c r="E18">
        <v>-1.34112943496E-3</v>
      </c>
      <c r="F18">
        <v>1.9975821604999999E-3</v>
      </c>
      <c r="G18">
        <v>0</v>
      </c>
    </row>
    <row r="19" spans="1:7" x14ac:dyDescent="0.25">
      <c r="A19">
        <v>1.7</v>
      </c>
      <c r="B19">
        <v>2267.5580349000002</v>
      </c>
      <c r="C19">
        <v>-493118.95779700001</v>
      </c>
      <c r="D19" s="1">
        <v>0</v>
      </c>
      <c r="E19" s="1">
        <v>-1.0350224277E-3</v>
      </c>
      <c r="F19" s="1">
        <v>1.4981704197100001E-3</v>
      </c>
      <c r="G19">
        <v>0</v>
      </c>
    </row>
    <row r="20" spans="1:7" x14ac:dyDescent="0.25">
      <c r="A20">
        <v>1.8</v>
      </c>
      <c r="B20">
        <v>3379.21546481</v>
      </c>
      <c r="C20">
        <v>-3338962.1795100002</v>
      </c>
      <c r="D20" s="1">
        <v>0</v>
      </c>
      <c r="E20" s="1">
        <v>-7.2891542044200002E-4</v>
      </c>
      <c r="F20">
        <v>9.9875867891600001E-4</v>
      </c>
      <c r="G20">
        <v>0</v>
      </c>
    </row>
    <row r="21" spans="1:7" x14ac:dyDescent="0.25">
      <c r="A21">
        <v>1.9</v>
      </c>
      <c r="B21">
        <v>4490.8728947199997</v>
      </c>
      <c r="C21">
        <v>-6184805.4012200003</v>
      </c>
      <c r="D21" s="1">
        <v>0</v>
      </c>
      <c r="E21">
        <v>-4.2280841318499999E-4</v>
      </c>
      <c r="F21" s="1">
        <v>4.9934693812200002E-4</v>
      </c>
      <c r="G21">
        <v>0</v>
      </c>
    </row>
    <row r="22" spans="1:7" x14ac:dyDescent="0.25">
      <c r="A22">
        <v>2</v>
      </c>
      <c r="B22">
        <v>5602.53032463</v>
      </c>
      <c r="C22">
        <v>-9030648.6229299996</v>
      </c>
      <c r="D22" s="1">
        <v>0</v>
      </c>
      <c r="E22" s="1">
        <v>-1.16701405927E-4</v>
      </c>
      <c r="F22" s="1">
        <v>-6.4802671826300002E-8</v>
      </c>
      <c r="G22">
        <v>0</v>
      </c>
    </row>
    <row r="23" spans="1:7" x14ac:dyDescent="0.25">
      <c r="A23">
        <v>2.1</v>
      </c>
      <c r="B23">
        <v>5778.7763861200001</v>
      </c>
      <c r="C23">
        <v>-15964186.4904</v>
      </c>
      <c r="D23" s="1">
        <v>0</v>
      </c>
      <c r="E23" s="1">
        <v>1.90126617993E-4</v>
      </c>
      <c r="F23" s="1">
        <v>-5.0066525849700003E-4</v>
      </c>
      <c r="G23">
        <v>0</v>
      </c>
    </row>
    <row r="24" spans="1:7" x14ac:dyDescent="0.25">
      <c r="A24">
        <v>2.2000000000000002</v>
      </c>
      <c r="B24">
        <v>5934.9622882200001</v>
      </c>
      <c r="C24">
        <v>-22985386.048999999</v>
      </c>
      <c r="D24" s="1">
        <v>0</v>
      </c>
      <c r="E24" s="1">
        <v>4.9697013412499996E-4</v>
      </c>
      <c r="F24">
        <v>-1.00129115011E-3</v>
      </c>
      <c r="G24">
        <v>0</v>
      </c>
    </row>
    <row r="25" spans="1:7" x14ac:dyDescent="0.25">
      <c r="A25">
        <v>2.2999999999999998</v>
      </c>
      <c r="B25">
        <v>6091.1481903200001</v>
      </c>
      <c r="C25">
        <v>-30006585.607700001</v>
      </c>
      <c r="D25" s="1">
        <v>0</v>
      </c>
      <c r="E25" s="1">
        <v>8.0381365025599999E-4</v>
      </c>
      <c r="F25" s="1">
        <v>-1.50191704172E-3</v>
      </c>
      <c r="G25">
        <v>0</v>
      </c>
    </row>
    <row r="26" spans="1:7" x14ac:dyDescent="0.25">
      <c r="A26">
        <v>2.4</v>
      </c>
      <c r="B26">
        <v>6247.3340924200002</v>
      </c>
      <c r="C26">
        <v>-37027785.166299999</v>
      </c>
      <c r="D26" s="1">
        <v>0</v>
      </c>
      <c r="E26" s="1">
        <v>1.11065716639E-3</v>
      </c>
      <c r="F26">
        <v>-2.00254293333E-3</v>
      </c>
      <c r="G26">
        <v>0</v>
      </c>
    </row>
    <row r="27" spans="1:7" x14ac:dyDescent="0.25">
      <c r="A27">
        <v>2.5</v>
      </c>
      <c r="B27">
        <v>6403.5199945200002</v>
      </c>
      <c r="C27">
        <v>-44048984.725000001</v>
      </c>
      <c r="D27" s="1">
        <v>0</v>
      </c>
      <c r="E27" s="1">
        <v>1.4175006825200001E-3</v>
      </c>
      <c r="F27" s="1">
        <v>-2.5031688249499999E-3</v>
      </c>
      <c r="G27">
        <v>0</v>
      </c>
    </row>
    <row r="28" spans="1:7" x14ac:dyDescent="0.25">
      <c r="A28">
        <v>2.6</v>
      </c>
      <c r="B28">
        <v>5726.2887358099997</v>
      </c>
      <c r="C28">
        <v>-48070636.480300002</v>
      </c>
      <c r="D28" s="1">
        <v>0</v>
      </c>
      <c r="E28" s="1">
        <v>1.83580762138E-3</v>
      </c>
      <c r="F28">
        <v>-3.0050478713300002E-3</v>
      </c>
      <c r="G28">
        <v>0</v>
      </c>
    </row>
    <row r="29" spans="1:7" x14ac:dyDescent="0.25">
      <c r="A29">
        <v>2.7</v>
      </c>
      <c r="B29">
        <v>5042.30697685</v>
      </c>
      <c r="C29">
        <v>-52067990.525600001</v>
      </c>
      <c r="D29" s="1">
        <v>0</v>
      </c>
      <c r="E29" s="1">
        <v>2.2550173607200001E-3</v>
      </c>
      <c r="F29" s="1">
        <v>-3.5069371239299998E-3</v>
      </c>
      <c r="G29">
        <v>0</v>
      </c>
    </row>
    <row r="30" spans="1:7" x14ac:dyDescent="0.25">
      <c r="A30">
        <v>2.8</v>
      </c>
      <c r="B30">
        <v>4358.3252178900002</v>
      </c>
      <c r="C30">
        <v>-56065344.570900001</v>
      </c>
      <c r="D30" s="1">
        <v>0</v>
      </c>
      <c r="E30" s="1">
        <v>2.6742271000600002E-3</v>
      </c>
      <c r="F30">
        <v>-4.0088263765299999E-3</v>
      </c>
      <c r="G30">
        <v>0</v>
      </c>
    </row>
    <row r="31" spans="1:7" x14ac:dyDescent="0.25">
      <c r="A31">
        <v>2.9</v>
      </c>
      <c r="B31">
        <v>3674.34345893</v>
      </c>
      <c r="C31">
        <v>-60062698.616099998</v>
      </c>
      <c r="D31" s="1">
        <v>0</v>
      </c>
      <c r="E31">
        <v>3.0934368393999998E-3</v>
      </c>
      <c r="F31" s="1">
        <v>-4.51071562913E-3</v>
      </c>
      <c r="G31">
        <v>0</v>
      </c>
    </row>
    <row r="32" spans="1:7" x14ac:dyDescent="0.25">
      <c r="A32">
        <v>3</v>
      </c>
      <c r="B32">
        <v>2990.3616999800001</v>
      </c>
      <c r="C32">
        <v>-64060052.661399998</v>
      </c>
      <c r="D32" s="1">
        <v>0</v>
      </c>
      <c r="E32" s="1">
        <v>3.51264657873E-3</v>
      </c>
      <c r="F32">
        <v>-5.0126048817200003E-3</v>
      </c>
      <c r="G32">
        <v>0</v>
      </c>
    </row>
    <row r="33" spans="1:7" x14ac:dyDescent="0.25">
      <c r="A33">
        <v>3.1</v>
      </c>
      <c r="B33">
        <v>2778.18416183</v>
      </c>
      <c r="C33">
        <v>-67456796.980199993</v>
      </c>
      <c r="D33" s="1">
        <v>0</v>
      </c>
      <c r="E33">
        <v>3.9525439426E-3</v>
      </c>
      <c r="F33" s="1">
        <v>-5.51572515257E-3</v>
      </c>
      <c r="G33">
        <v>0</v>
      </c>
    </row>
    <row r="34" spans="1:7" x14ac:dyDescent="0.25">
      <c r="A34">
        <v>3.2</v>
      </c>
      <c r="B34">
        <v>2575.8290746799998</v>
      </c>
      <c r="C34">
        <v>-70841037.257300004</v>
      </c>
      <c r="D34" s="1">
        <v>0</v>
      </c>
      <c r="E34">
        <v>4.3928720003100002E-3</v>
      </c>
      <c r="F34">
        <v>-6.0188710518699999E-3</v>
      </c>
      <c r="G34">
        <v>0</v>
      </c>
    </row>
    <row r="35" spans="1:7" x14ac:dyDescent="0.25">
      <c r="A35">
        <v>3.3</v>
      </c>
      <c r="B35">
        <v>2373.4739875199998</v>
      </c>
      <c r="C35">
        <v>-74225277.534400001</v>
      </c>
      <c r="D35" s="1">
        <v>0</v>
      </c>
      <c r="E35">
        <v>4.8332000580300002E-3</v>
      </c>
      <c r="F35" s="1">
        <v>-6.5220169511799996E-3</v>
      </c>
      <c r="G35">
        <v>0</v>
      </c>
    </row>
    <row r="36" spans="1:7" x14ac:dyDescent="0.25">
      <c r="A36">
        <v>3.4</v>
      </c>
      <c r="B36">
        <v>2171.1189003700001</v>
      </c>
      <c r="C36">
        <v>-77609517.8116</v>
      </c>
      <c r="D36" s="1">
        <v>0</v>
      </c>
      <c r="E36" s="1">
        <v>5.2735281157399996E-3</v>
      </c>
      <c r="F36">
        <v>-7.0251628504900002E-3</v>
      </c>
      <c r="G36">
        <v>0</v>
      </c>
    </row>
    <row r="37" spans="1:7" x14ac:dyDescent="0.25">
      <c r="A37">
        <v>3.5</v>
      </c>
      <c r="B37">
        <v>1968.76381322</v>
      </c>
      <c r="C37">
        <v>-80993758.088699996</v>
      </c>
      <c r="D37" s="1">
        <v>0</v>
      </c>
      <c r="E37" s="1">
        <v>5.7138561734599996E-3</v>
      </c>
      <c r="F37" s="1">
        <v>-7.5283087497900001E-3</v>
      </c>
      <c r="G37">
        <v>0</v>
      </c>
    </row>
    <row r="38" spans="1:7" x14ac:dyDescent="0.25">
      <c r="A38">
        <v>3.6</v>
      </c>
      <c r="B38">
        <v>1500.9146392</v>
      </c>
      <c r="C38">
        <v>-83989580.227400005</v>
      </c>
      <c r="D38" s="1">
        <v>0</v>
      </c>
      <c r="E38" s="1">
        <v>6.1657215498100004E-3</v>
      </c>
      <c r="F38">
        <v>-8.0327095248700006E-3</v>
      </c>
      <c r="G38">
        <v>0</v>
      </c>
    </row>
    <row r="39" spans="1:7" x14ac:dyDescent="0.25">
      <c r="A39">
        <v>3.7</v>
      </c>
      <c r="B39">
        <v>1032.4564034099999</v>
      </c>
      <c r="C39">
        <v>-86984511.3081</v>
      </c>
      <c r="D39" s="1">
        <v>0</v>
      </c>
      <c r="E39" s="1">
        <v>6.61761339357E-3</v>
      </c>
      <c r="F39" s="1">
        <v>-8.5371131787100006E-3</v>
      </c>
      <c r="G39">
        <v>0</v>
      </c>
    </row>
    <row r="40" spans="1:7" x14ac:dyDescent="0.25">
      <c r="A40">
        <v>3.8</v>
      </c>
      <c r="B40">
        <v>563.99816762099999</v>
      </c>
      <c r="C40">
        <v>-89979442.388699993</v>
      </c>
      <c r="D40" s="1">
        <v>0</v>
      </c>
      <c r="E40" s="1">
        <v>7.0695052373299996E-3</v>
      </c>
      <c r="F40">
        <v>-9.0415168325500006E-3</v>
      </c>
      <c r="G40">
        <v>0</v>
      </c>
    </row>
    <row r="41" spans="1:7" x14ac:dyDescent="0.25">
      <c r="A41">
        <v>3.9</v>
      </c>
      <c r="B41">
        <v>95.539931831000004</v>
      </c>
      <c r="C41">
        <v>-92974373.469400004</v>
      </c>
      <c r="D41" s="1">
        <v>0</v>
      </c>
      <c r="E41" s="1">
        <v>7.5213970810900001E-3</v>
      </c>
      <c r="F41" s="1">
        <v>-9.5459204863999995E-3</v>
      </c>
      <c r="G41">
        <v>0</v>
      </c>
    </row>
    <row r="42" spans="1:7" x14ac:dyDescent="0.25">
      <c r="A42">
        <v>4</v>
      </c>
      <c r="B42">
        <v>-372.91830395900001</v>
      </c>
      <c r="C42">
        <v>-95969304.550099999</v>
      </c>
      <c r="D42" s="1">
        <v>0</v>
      </c>
      <c r="E42" s="1">
        <v>7.9732889248500007E-3</v>
      </c>
      <c r="F42" s="1">
        <v>-1.00503241402E-2</v>
      </c>
      <c r="G42">
        <v>0</v>
      </c>
    </row>
    <row r="43" spans="1:7" x14ac:dyDescent="0.25">
      <c r="A43">
        <v>4.0999999999999996</v>
      </c>
      <c r="B43">
        <v>-41.639335581300003</v>
      </c>
      <c r="C43">
        <v>-98456222.065200001</v>
      </c>
      <c r="D43" s="1">
        <v>0</v>
      </c>
      <c r="E43" s="1">
        <v>8.4407515872199999E-3</v>
      </c>
      <c r="F43" s="1">
        <v>-1.05559939636E-2</v>
      </c>
      <c r="G43">
        <v>0</v>
      </c>
    </row>
    <row r="44" spans="1:7" x14ac:dyDescent="0.25">
      <c r="A44">
        <v>4.2</v>
      </c>
      <c r="B44">
        <v>302.14973603599998</v>
      </c>
      <c r="C44">
        <v>-100935192.84199999</v>
      </c>
      <c r="D44" s="1">
        <v>0</v>
      </c>
      <c r="E44" s="1">
        <v>8.9084578202999996E-3</v>
      </c>
      <c r="F44">
        <v>-1.10616835935E-2</v>
      </c>
      <c r="G44">
        <v>0</v>
      </c>
    </row>
    <row r="45" spans="1:7" x14ac:dyDescent="0.25">
      <c r="A45">
        <v>4.3</v>
      </c>
      <c r="B45">
        <v>645.93880765300003</v>
      </c>
      <c r="C45">
        <v>-103414163.619</v>
      </c>
      <c r="D45" s="1">
        <v>0</v>
      </c>
      <c r="E45" s="1">
        <v>9.3761640533700005E-3</v>
      </c>
      <c r="F45" s="1">
        <v>-1.1567373223300001E-2</v>
      </c>
      <c r="G45">
        <v>0</v>
      </c>
    </row>
    <row r="46" spans="1:7" x14ac:dyDescent="0.25">
      <c r="A46">
        <v>4.4000000000000004</v>
      </c>
      <c r="B46">
        <v>989.72787927000002</v>
      </c>
      <c r="C46">
        <v>-105893134.396</v>
      </c>
      <c r="D46" s="1">
        <v>0</v>
      </c>
      <c r="E46" s="1">
        <v>9.8438702864500002E-3</v>
      </c>
      <c r="F46">
        <v>-1.2073062853099999E-2</v>
      </c>
      <c r="G46">
        <v>0</v>
      </c>
    </row>
    <row r="47" spans="1:7" x14ac:dyDescent="0.25">
      <c r="A47">
        <v>4.5</v>
      </c>
      <c r="B47">
        <v>1333.5169508900001</v>
      </c>
      <c r="C47">
        <v>-108372105.17299999</v>
      </c>
      <c r="D47" s="1">
        <v>0</v>
      </c>
      <c r="E47" s="1">
        <v>1.03115765195E-2</v>
      </c>
      <c r="F47" s="1">
        <v>-1.25787524829E-2</v>
      </c>
      <c r="G47">
        <v>0</v>
      </c>
    </row>
    <row r="48" spans="1:7" x14ac:dyDescent="0.25">
      <c r="A48">
        <v>4.5999999999999996</v>
      </c>
      <c r="B48">
        <v>1056.59089098</v>
      </c>
      <c r="C48">
        <v>-110077013.04099999</v>
      </c>
      <c r="D48" s="1">
        <v>0</v>
      </c>
      <c r="E48" s="1">
        <v>1.0805307956199999E-2</v>
      </c>
      <c r="F48">
        <v>-1.30857274932E-2</v>
      </c>
      <c r="G48">
        <v>0</v>
      </c>
    </row>
    <row r="49" spans="1:7" x14ac:dyDescent="0.25">
      <c r="A49">
        <v>4.7</v>
      </c>
      <c r="B49">
        <v>778.45487855500005</v>
      </c>
      <c r="C49">
        <v>-111780412.037</v>
      </c>
      <c r="D49" s="1">
        <v>0</v>
      </c>
      <c r="E49" s="1">
        <v>1.12990901235E-2</v>
      </c>
      <c r="F49" s="1">
        <v>-1.35927050091E-2</v>
      </c>
      <c r="G49">
        <v>0</v>
      </c>
    </row>
    <row r="50" spans="1:7" x14ac:dyDescent="0.25">
      <c r="A50">
        <v>4.8</v>
      </c>
      <c r="B50">
        <v>500.31886612900001</v>
      </c>
      <c r="C50">
        <v>-113483811.03399999</v>
      </c>
      <c r="D50" s="1">
        <v>0</v>
      </c>
      <c r="E50" s="1">
        <v>1.17928722909E-2</v>
      </c>
      <c r="F50">
        <v>-1.4099682525000001E-2</v>
      </c>
      <c r="G50">
        <v>0</v>
      </c>
    </row>
    <row r="51" spans="1:7" x14ac:dyDescent="0.25">
      <c r="A51">
        <v>4.9000000000000004</v>
      </c>
      <c r="B51">
        <v>222.182853704</v>
      </c>
      <c r="C51">
        <v>-115187210.03</v>
      </c>
      <c r="D51" s="1">
        <v>0</v>
      </c>
      <c r="E51" s="1">
        <v>1.22866544582E-2</v>
      </c>
      <c r="F51" s="1">
        <v>-1.4606660040899999E-2</v>
      </c>
      <c r="G51">
        <v>0</v>
      </c>
    </row>
    <row r="52" spans="1:7" x14ac:dyDescent="0.25">
      <c r="A52">
        <v>5</v>
      </c>
      <c r="B52">
        <v>-55.953158721900003</v>
      </c>
      <c r="C52">
        <v>-116890609.027</v>
      </c>
      <c r="D52" s="1">
        <v>0</v>
      </c>
      <c r="E52" s="1">
        <v>1.27804366255E-2</v>
      </c>
      <c r="F52">
        <v>-1.51136375567E-2</v>
      </c>
      <c r="G52">
        <v>0</v>
      </c>
    </row>
    <row r="53" spans="1:7" x14ac:dyDescent="0.25">
      <c r="A53">
        <v>5.0999999999999996</v>
      </c>
      <c r="B53">
        <v>2079.8708808199999</v>
      </c>
      <c r="C53">
        <v>-117334382.33</v>
      </c>
      <c r="D53" s="1">
        <v>0</v>
      </c>
      <c r="E53" s="1">
        <v>1.3324670294800001E-2</v>
      </c>
      <c r="F53" s="1">
        <v>-1.5621885010300001E-2</v>
      </c>
      <c r="G53">
        <v>0</v>
      </c>
    </row>
    <row r="54" spans="1:7" x14ac:dyDescent="0.25">
      <c r="A54">
        <v>5.2</v>
      </c>
      <c r="B54">
        <v>4223.1422535199999</v>
      </c>
      <c r="C54">
        <v>-117774269.57799999</v>
      </c>
      <c r="D54" s="1">
        <v>0</v>
      </c>
      <c r="E54" s="1">
        <v>1.3869059611499999E-2</v>
      </c>
      <c r="F54">
        <v>-1.6130136381700001E-2</v>
      </c>
      <c r="G54">
        <v>0</v>
      </c>
    </row>
    <row r="55" spans="1:7" x14ac:dyDescent="0.25">
      <c r="A55">
        <v>5.3</v>
      </c>
      <c r="B55">
        <v>6366.4136262299999</v>
      </c>
      <c r="C55">
        <v>-118214156.825</v>
      </c>
      <c r="D55" s="1">
        <v>0</v>
      </c>
      <c r="E55" s="1">
        <v>1.44134489282E-2</v>
      </c>
      <c r="F55" s="1">
        <v>-1.66383877531E-2</v>
      </c>
      <c r="G55">
        <v>0</v>
      </c>
    </row>
    <row r="56" spans="1:7" x14ac:dyDescent="0.25">
      <c r="A56">
        <v>5.4</v>
      </c>
      <c r="B56">
        <v>8509.6849989300008</v>
      </c>
      <c r="C56">
        <v>-118654044.073</v>
      </c>
      <c r="D56" s="1">
        <v>0</v>
      </c>
      <c r="E56" s="1">
        <v>1.4957838244900001E-2</v>
      </c>
      <c r="F56">
        <v>-1.7146639124499999E-2</v>
      </c>
      <c r="G56">
        <v>0</v>
      </c>
    </row>
    <row r="57" spans="1:7" x14ac:dyDescent="0.25">
      <c r="A57">
        <v>5.5</v>
      </c>
      <c r="B57">
        <v>10652.956371599999</v>
      </c>
      <c r="C57">
        <v>-119093931.31999999</v>
      </c>
      <c r="D57" s="1">
        <v>0</v>
      </c>
      <c r="E57" s="1">
        <v>1.55022275616E-2</v>
      </c>
      <c r="F57" s="1">
        <v>-1.7654890495900001E-2</v>
      </c>
      <c r="G57">
        <v>0</v>
      </c>
    </row>
    <row r="58" spans="1:7" x14ac:dyDescent="0.25">
      <c r="A58">
        <v>5.6</v>
      </c>
      <c r="B58">
        <v>38338.211722599997</v>
      </c>
      <c r="C58">
        <v>-119092981.00300001</v>
      </c>
      <c r="D58" s="1">
        <v>0</v>
      </c>
      <c r="E58" s="1">
        <v>1.6105985652299998E-2</v>
      </c>
      <c r="F58">
        <v>-1.81564893917E-2</v>
      </c>
      <c r="G58">
        <v>0</v>
      </c>
    </row>
    <row r="59" spans="1:7" x14ac:dyDescent="0.25">
      <c r="A59">
        <v>5.7</v>
      </c>
      <c r="B59">
        <v>66049.313406200003</v>
      </c>
      <c r="C59">
        <v>-119091584.595</v>
      </c>
      <c r="D59" s="1">
        <v>0</v>
      </c>
      <c r="E59" s="1">
        <v>1.6709803819300002E-2</v>
      </c>
      <c r="F59" s="1">
        <v>-1.86580815557E-2</v>
      </c>
      <c r="G59">
        <v>0</v>
      </c>
    </row>
    <row r="60" spans="1:7" x14ac:dyDescent="0.25">
      <c r="A60">
        <v>5.8</v>
      </c>
      <c r="B60">
        <v>93760.415089899994</v>
      </c>
      <c r="C60">
        <v>-119090188.18700001</v>
      </c>
      <c r="D60" s="1">
        <v>0</v>
      </c>
      <c r="E60" s="1">
        <v>1.7313621986300001E-2</v>
      </c>
      <c r="F60">
        <v>-1.91596737197E-2</v>
      </c>
      <c r="G60">
        <v>0</v>
      </c>
    </row>
    <row r="61" spans="1:7" x14ac:dyDescent="0.25">
      <c r="A61">
        <v>5.9</v>
      </c>
      <c r="B61">
        <v>121471.516773</v>
      </c>
      <c r="C61">
        <v>-119088791.779</v>
      </c>
      <c r="D61" s="1">
        <v>0</v>
      </c>
      <c r="E61" s="1">
        <v>1.7917440153300001E-2</v>
      </c>
      <c r="F61" s="1">
        <v>-1.9661265883699999E-2</v>
      </c>
      <c r="G61">
        <v>0</v>
      </c>
    </row>
    <row r="62" spans="1:7" x14ac:dyDescent="0.25">
      <c r="A62">
        <v>6</v>
      </c>
      <c r="B62">
        <v>149182.618457</v>
      </c>
      <c r="C62">
        <v>-119087395.37</v>
      </c>
      <c r="D62" s="1">
        <v>0</v>
      </c>
      <c r="E62" s="1">
        <v>1.8521258320300001E-2</v>
      </c>
      <c r="F62" s="1">
        <v>-2.0162858047699999E-2</v>
      </c>
      <c r="G62">
        <v>0</v>
      </c>
    </row>
    <row r="63" spans="1:7" x14ac:dyDescent="0.25">
      <c r="A63">
        <v>6.1</v>
      </c>
      <c r="B63">
        <v>119412.96152300001</v>
      </c>
      <c r="C63">
        <v>-113204044.66599999</v>
      </c>
      <c r="D63" s="1">
        <v>0</v>
      </c>
      <c r="E63" s="1">
        <v>1.8232248336000002E-2</v>
      </c>
      <c r="F63" s="1">
        <v>-1.9681700367399999E-2</v>
      </c>
      <c r="G63">
        <v>0</v>
      </c>
    </row>
    <row r="64" spans="1:7" x14ac:dyDescent="0.25">
      <c r="A64">
        <v>6.2</v>
      </c>
      <c r="B64">
        <v>88149.501167199996</v>
      </c>
      <c r="C64">
        <v>-107167834.60600001</v>
      </c>
      <c r="D64" s="1">
        <v>0</v>
      </c>
      <c r="E64" s="1">
        <v>1.7920035666199999E-2</v>
      </c>
      <c r="F64" s="1">
        <v>-1.917500313E-2</v>
      </c>
      <c r="G64">
        <v>0</v>
      </c>
    </row>
    <row r="65" spans="1:7" x14ac:dyDescent="0.25">
      <c r="A65">
        <v>6.3</v>
      </c>
      <c r="B65">
        <v>56886.040811799998</v>
      </c>
      <c r="C65">
        <v>-101131624.54700001</v>
      </c>
      <c r="D65" s="1">
        <v>0</v>
      </c>
      <c r="E65" s="1">
        <v>1.7607822996499999E-2</v>
      </c>
      <c r="F65" s="1">
        <v>-1.86683058926E-2</v>
      </c>
      <c r="G65">
        <v>0</v>
      </c>
    </row>
    <row r="66" spans="1:7" x14ac:dyDescent="0.25">
      <c r="A66">
        <v>6.4</v>
      </c>
      <c r="B66">
        <v>25622.580456399999</v>
      </c>
      <c r="C66">
        <v>-95095414.487499997</v>
      </c>
      <c r="D66" s="1">
        <v>0</v>
      </c>
      <c r="E66" s="1">
        <v>1.72956103267E-2</v>
      </c>
      <c r="F66" s="1">
        <v>-1.8161608655300001E-2</v>
      </c>
      <c r="G66">
        <v>0</v>
      </c>
    </row>
    <row r="67" spans="1:7" x14ac:dyDescent="0.25">
      <c r="A67">
        <v>6.5</v>
      </c>
      <c r="B67">
        <v>-5640.8798989699999</v>
      </c>
      <c r="C67">
        <v>-89059204.428100005</v>
      </c>
      <c r="D67" s="1">
        <v>0</v>
      </c>
      <c r="E67" s="1">
        <v>1.6983397657E-2</v>
      </c>
      <c r="F67" s="1">
        <v>-1.7654911417900002E-2</v>
      </c>
      <c r="G67">
        <v>0</v>
      </c>
    </row>
    <row r="68" spans="1:7" x14ac:dyDescent="0.25">
      <c r="A68">
        <v>6.6</v>
      </c>
      <c r="B68">
        <v>-6039.0178764599996</v>
      </c>
      <c r="C68">
        <v>-82969717.877299994</v>
      </c>
      <c r="D68" s="1">
        <v>0</v>
      </c>
      <c r="E68" s="1">
        <v>1.6671906091599999E-2</v>
      </c>
      <c r="F68" s="1">
        <v>-1.71466868465E-2</v>
      </c>
      <c r="G68">
        <v>0</v>
      </c>
    </row>
    <row r="69" spans="1:7" x14ac:dyDescent="0.25">
      <c r="A69">
        <v>6.7</v>
      </c>
      <c r="B69">
        <v>-6029.4609667799996</v>
      </c>
      <c r="C69">
        <v>-76879527.600999996</v>
      </c>
      <c r="D69" s="1">
        <v>0</v>
      </c>
      <c r="E69" s="1">
        <v>1.6360424051300001E-2</v>
      </c>
      <c r="F69" s="1">
        <v>-1.66384421006E-2</v>
      </c>
      <c r="G69">
        <v>0</v>
      </c>
    </row>
    <row r="70" spans="1:7" x14ac:dyDescent="0.25">
      <c r="A70">
        <v>6.8</v>
      </c>
      <c r="B70">
        <v>-6019.9040570999996</v>
      </c>
      <c r="C70">
        <v>-70789337.324699998</v>
      </c>
      <c r="D70" s="1">
        <v>0</v>
      </c>
      <c r="E70" s="1">
        <v>1.60489420109E-2</v>
      </c>
      <c r="F70" s="1">
        <v>-1.6130197354600001E-2</v>
      </c>
      <c r="G70">
        <v>0</v>
      </c>
    </row>
    <row r="71" spans="1:7" x14ac:dyDescent="0.25">
      <c r="A71">
        <v>6.9</v>
      </c>
      <c r="B71">
        <v>-6010.3471474199996</v>
      </c>
      <c r="C71">
        <v>-64699147.048500001</v>
      </c>
      <c r="D71" s="1">
        <v>0</v>
      </c>
      <c r="E71" s="1">
        <v>1.5737459970599998E-2</v>
      </c>
      <c r="F71" s="1">
        <v>-1.56219526087E-2</v>
      </c>
      <c r="G71">
        <v>0</v>
      </c>
    </row>
    <row r="72" spans="1:7" x14ac:dyDescent="0.25">
      <c r="A72">
        <v>7</v>
      </c>
      <c r="B72">
        <v>-6000.7902377399996</v>
      </c>
      <c r="C72">
        <v>-58608956.772200003</v>
      </c>
      <c r="D72" s="1">
        <v>0</v>
      </c>
      <c r="E72" s="1">
        <v>1.5425977930200001E-2</v>
      </c>
      <c r="F72" s="1">
        <v>-1.51137078628E-2</v>
      </c>
      <c r="G72">
        <v>0</v>
      </c>
    </row>
    <row r="73" spans="1:7" x14ac:dyDescent="0.25">
      <c r="A73">
        <v>7.1</v>
      </c>
      <c r="B73">
        <v>-5998.3407981399996</v>
      </c>
      <c r="C73">
        <v>-52534041.029100001</v>
      </c>
      <c r="D73" s="1">
        <v>0</v>
      </c>
      <c r="E73" s="1">
        <v>1.5115229209799999E-2</v>
      </c>
      <c r="F73" s="1">
        <v>-1.46067524421E-2</v>
      </c>
      <c r="G73">
        <v>0</v>
      </c>
    </row>
    <row r="74" spans="1:7" x14ac:dyDescent="0.25">
      <c r="A74">
        <v>7.2</v>
      </c>
      <c r="B74">
        <v>-5995.9445560100003</v>
      </c>
      <c r="C74">
        <v>-46459239.6118</v>
      </c>
      <c r="D74" s="1">
        <v>0</v>
      </c>
      <c r="E74" s="1">
        <v>1.4804485978E-2</v>
      </c>
      <c r="F74" s="1">
        <v>-1.4099806671600001E-2</v>
      </c>
      <c r="G74">
        <v>0</v>
      </c>
    </row>
    <row r="75" spans="1:7" x14ac:dyDescent="0.25">
      <c r="A75">
        <v>7.3</v>
      </c>
      <c r="B75">
        <v>-5993.5483138899999</v>
      </c>
      <c r="C75">
        <v>-40384438.194499999</v>
      </c>
      <c r="D75" s="1">
        <v>0</v>
      </c>
      <c r="E75" s="1">
        <v>1.44937427463E-2</v>
      </c>
      <c r="F75" s="1">
        <v>-1.35928609011E-2</v>
      </c>
      <c r="G75">
        <v>0</v>
      </c>
    </row>
    <row r="76" spans="1:7" x14ac:dyDescent="0.25">
      <c r="A76">
        <v>7.4</v>
      </c>
      <c r="B76">
        <v>-5991.1520717699996</v>
      </c>
      <c r="C76">
        <v>-34309636.777099997</v>
      </c>
      <c r="D76" s="1">
        <v>0</v>
      </c>
      <c r="E76" s="1">
        <v>1.41829995145E-2</v>
      </c>
      <c r="F76" s="1">
        <v>-1.30859151306E-2</v>
      </c>
      <c r="G76">
        <v>0</v>
      </c>
    </row>
    <row r="77" spans="1:7" x14ac:dyDescent="0.25">
      <c r="A77">
        <v>7.5</v>
      </c>
      <c r="B77">
        <v>-5988.7558296400002</v>
      </c>
      <c r="C77">
        <v>-28234835.3598</v>
      </c>
      <c r="D77" s="1">
        <v>0</v>
      </c>
      <c r="E77" s="1">
        <v>1.38722562828E-2</v>
      </c>
      <c r="F77" s="1">
        <v>-1.2578969360200001E-2</v>
      </c>
      <c r="G77">
        <v>0</v>
      </c>
    </row>
    <row r="78" spans="1:7" x14ac:dyDescent="0.25">
      <c r="A78">
        <v>7.6</v>
      </c>
      <c r="B78">
        <v>-5986.98776017</v>
      </c>
      <c r="C78">
        <v>-22220541.0942</v>
      </c>
      <c r="D78" s="1">
        <v>0</v>
      </c>
      <c r="E78" s="1">
        <v>1.35623146369E-2</v>
      </c>
      <c r="F78" s="1">
        <v>-1.20732712499E-2</v>
      </c>
      <c r="G78">
        <v>0</v>
      </c>
    </row>
    <row r="79" spans="1:7" x14ac:dyDescent="0.25">
      <c r="A79">
        <v>7.7</v>
      </c>
      <c r="B79">
        <v>-5985.2208370199996</v>
      </c>
      <c r="C79">
        <v>-16206357.2446</v>
      </c>
      <c r="D79" s="1">
        <v>0</v>
      </c>
      <c r="E79" s="1">
        <v>1.32523744538E-2</v>
      </c>
      <c r="F79" s="1">
        <v>-1.15675754163E-2</v>
      </c>
      <c r="G79">
        <v>0</v>
      </c>
    </row>
    <row r="80" spans="1:7" x14ac:dyDescent="0.25">
      <c r="A80">
        <v>7.8</v>
      </c>
      <c r="B80">
        <v>-5983.4539138700002</v>
      </c>
      <c r="C80">
        <v>-10192173.395099999</v>
      </c>
      <c r="D80" s="1">
        <v>0</v>
      </c>
      <c r="E80" s="1">
        <v>1.29424342707E-2</v>
      </c>
      <c r="F80" s="1">
        <v>-1.1061879582799999E-2</v>
      </c>
      <c r="G80">
        <v>0</v>
      </c>
    </row>
    <row r="81" spans="1:7" x14ac:dyDescent="0.25">
      <c r="A81">
        <v>7.9</v>
      </c>
      <c r="B81">
        <v>-5981.6869907199998</v>
      </c>
      <c r="C81">
        <v>-4177989.5454899999</v>
      </c>
      <c r="D81" s="1">
        <v>0</v>
      </c>
      <c r="E81" s="1">
        <v>1.2632494087599999E-2</v>
      </c>
      <c r="F81" s="1">
        <v>-1.0556183749300001E-2</v>
      </c>
      <c r="G81">
        <v>0</v>
      </c>
    </row>
    <row r="82" spans="1:7" x14ac:dyDescent="0.25">
      <c r="A82">
        <v>8</v>
      </c>
      <c r="B82">
        <v>-5979.9200675700004</v>
      </c>
      <c r="C82">
        <v>1836194.30409</v>
      </c>
      <c r="D82" s="1">
        <v>0</v>
      </c>
      <c r="E82" s="1">
        <v>1.2322553904499999E-2</v>
      </c>
      <c r="F82" s="1">
        <v>-1.00504879158E-2</v>
      </c>
      <c r="G82">
        <v>0</v>
      </c>
    </row>
    <row r="83" spans="1:7" x14ac:dyDescent="0.25">
      <c r="A83">
        <v>8.1</v>
      </c>
      <c r="B83">
        <v>-5193.0976586899997</v>
      </c>
      <c r="C83">
        <v>3094769.7382999999</v>
      </c>
      <c r="D83" s="1">
        <v>0</v>
      </c>
      <c r="E83" s="1">
        <v>1.2013374692100001E-2</v>
      </c>
      <c r="F83" s="1">
        <v>-9.5460626499799996E-3</v>
      </c>
      <c r="G83">
        <v>0</v>
      </c>
    </row>
    <row r="84" spans="1:7" x14ac:dyDescent="0.25">
      <c r="A84">
        <v>8.1999999999999993</v>
      </c>
      <c r="B84">
        <v>-4400.0876263099999</v>
      </c>
      <c r="C84">
        <v>4315862.4546499997</v>
      </c>
      <c r="D84" s="1">
        <v>0</v>
      </c>
      <c r="E84" s="1">
        <v>1.17042014776E-2</v>
      </c>
      <c r="F84" s="1">
        <v>-9.0416473985000002E-3</v>
      </c>
      <c r="G84">
        <v>0</v>
      </c>
    </row>
    <row r="85" spans="1:7" x14ac:dyDescent="0.25">
      <c r="A85">
        <v>8.3000000000000007</v>
      </c>
      <c r="B85">
        <v>-3607.0775939300001</v>
      </c>
      <c r="C85">
        <v>5536955.1709899995</v>
      </c>
      <c r="D85" s="1">
        <v>0</v>
      </c>
      <c r="E85" s="1">
        <v>1.1395028263E-2</v>
      </c>
      <c r="F85" s="1">
        <v>-8.5372321470200008E-3</v>
      </c>
      <c r="G85">
        <v>0</v>
      </c>
    </row>
    <row r="86" spans="1:7" x14ac:dyDescent="0.25">
      <c r="A86">
        <v>8.4</v>
      </c>
      <c r="B86">
        <v>-2814.0675615499999</v>
      </c>
      <c r="C86">
        <v>6758047.8873399999</v>
      </c>
      <c r="D86" s="1">
        <v>0</v>
      </c>
      <c r="E86" s="1">
        <v>1.10858550485E-2</v>
      </c>
      <c r="F86" s="1">
        <v>-8.0328168955399997E-3</v>
      </c>
      <c r="G86">
        <v>0</v>
      </c>
    </row>
    <row r="87" spans="1:7" x14ac:dyDescent="0.25">
      <c r="A87">
        <v>8.5</v>
      </c>
      <c r="B87">
        <v>-2021.05752917</v>
      </c>
      <c r="C87">
        <v>7979140.6036900003</v>
      </c>
      <c r="D87" s="1">
        <v>0</v>
      </c>
      <c r="E87" s="1">
        <v>1.0776681833899999E-2</v>
      </c>
      <c r="F87" s="1">
        <v>-7.5284016440700001E-3</v>
      </c>
      <c r="G87">
        <v>0</v>
      </c>
    </row>
    <row r="88" spans="1:7" x14ac:dyDescent="0.25">
      <c r="A88">
        <v>8.6</v>
      </c>
      <c r="B88">
        <v>-2379.8384351999998</v>
      </c>
      <c r="C88">
        <v>7617333.0577199999</v>
      </c>
      <c r="D88" s="1">
        <v>0</v>
      </c>
      <c r="E88" s="1">
        <v>1.0458201353300001E-2</v>
      </c>
      <c r="F88" s="1">
        <v>-7.0252250647599998E-3</v>
      </c>
      <c r="G88">
        <v>0</v>
      </c>
    </row>
    <row r="89" spans="1:7" x14ac:dyDescent="0.25">
      <c r="A89">
        <v>8.6999999999999993</v>
      </c>
      <c r="B89">
        <v>-2766.62422208</v>
      </c>
      <c r="C89">
        <v>7217038.85035</v>
      </c>
      <c r="D89" s="1">
        <v>0</v>
      </c>
      <c r="E89" s="1">
        <v>1.01394945748E-2</v>
      </c>
      <c r="F89" s="1">
        <v>-6.5220786026400001E-3</v>
      </c>
      <c r="G89">
        <v>0</v>
      </c>
    </row>
    <row r="90" spans="1:7" x14ac:dyDescent="0.25">
      <c r="A90">
        <v>8.8000000000000007</v>
      </c>
      <c r="B90">
        <v>-3153.4100089600001</v>
      </c>
      <c r="C90">
        <v>6816744.6429899996</v>
      </c>
      <c r="D90" s="1">
        <v>0</v>
      </c>
      <c r="E90" s="1">
        <v>9.82078779639E-3</v>
      </c>
      <c r="F90" s="1">
        <v>-6.0189321405200004E-3</v>
      </c>
      <c r="G90">
        <v>0</v>
      </c>
    </row>
    <row r="91" spans="1:7" x14ac:dyDescent="0.25">
      <c r="A91">
        <v>8.9</v>
      </c>
      <c r="B91">
        <v>-3540.1957958399998</v>
      </c>
      <c r="C91">
        <v>6416450.4356199997</v>
      </c>
      <c r="D91" s="1">
        <v>0</v>
      </c>
      <c r="E91" s="1">
        <v>9.5020810179600006E-3</v>
      </c>
      <c r="F91" s="1">
        <v>-5.5157856784099997E-3</v>
      </c>
      <c r="G91">
        <v>0</v>
      </c>
    </row>
    <row r="92" spans="1:7" x14ac:dyDescent="0.25">
      <c r="A92">
        <v>9</v>
      </c>
      <c r="B92">
        <v>-3926.98158272</v>
      </c>
      <c r="C92">
        <v>6016156.2282600002</v>
      </c>
      <c r="D92" s="1">
        <v>0</v>
      </c>
      <c r="E92" s="1">
        <v>9.1833742395299994E-3</v>
      </c>
      <c r="F92" s="1">
        <v>-5.01263921629E-3</v>
      </c>
      <c r="G92">
        <v>0</v>
      </c>
    </row>
    <row r="93" spans="1:7" x14ac:dyDescent="0.25">
      <c r="A93">
        <v>9.1</v>
      </c>
      <c r="B93">
        <v>-3571.71901088</v>
      </c>
      <c r="C93">
        <v>5418675.5515299998</v>
      </c>
      <c r="D93" s="1">
        <v>0</v>
      </c>
      <c r="E93" s="1">
        <v>8.8592507843500007E-3</v>
      </c>
      <c r="F93" s="1">
        <v>-4.5107442582800004E-3</v>
      </c>
      <c r="G93">
        <v>0</v>
      </c>
    </row>
    <row r="94" spans="1:7" x14ac:dyDescent="0.25">
      <c r="A94">
        <v>9.1999999999999993</v>
      </c>
      <c r="B94">
        <v>-3208.8062790700001</v>
      </c>
      <c r="C94">
        <v>4819161.9775900003</v>
      </c>
      <c r="D94" s="1">
        <v>0</v>
      </c>
      <c r="E94" s="1">
        <v>8.5350714858400002E-3</v>
      </c>
      <c r="F94" s="1">
        <v>-4.0088622026699999E-3</v>
      </c>
      <c r="G94">
        <v>0</v>
      </c>
    </row>
    <row r="95" spans="1:7" x14ac:dyDescent="0.25">
      <c r="A95">
        <v>9.3000000000000007</v>
      </c>
      <c r="B95">
        <v>-2845.8935472500002</v>
      </c>
      <c r="C95">
        <v>4219648.4036499998</v>
      </c>
      <c r="D95" s="1">
        <v>0</v>
      </c>
      <c r="E95" s="1">
        <v>8.2108921873299996E-3</v>
      </c>
      <c r="F95" s="1">
        <v>-3.5069801470599998E-3</v>
      </c>
      <c r="G95">
        <v>0</v>
      </c>
    </row>
    <row r="96" spans="1:7" x14ac:dyDescent="0.25">
      <c r="A96">
        <v>9.4</v>
      </c>
      <c r="B96">
        <v>-2482.9808154399998</v>
      </c>
      <c r="C96">
        <v>3620134.8297100002</v>
      </c>
      <c r="D96" s="1">
        <v>0</v>
      </c>
      <c r="E96" s="1">
        <v>7.8867128888299998E-3</v>
      </c>
      <c r="F96" s="1">
        <v>-3.0050980914499998E-3</v>
      </c>
      <c r="G96">
        <v>0</v>
      </c>
    </row>
    <row r="97" spans="1:7" x14ac:dyDescent="0.25">
      <c r="A97">
        <v>9.5</v>
      </c>
      <c r="B97">
        <v>-2120.0680836199999</v>
      </c>
      <c r="C97">
        <v>3020621.2557700002</v>
      </c>
      <c r="D97" s="1">
        <v>0</v>
      </c>
      <c r="E97" s="1">
        <v>7.5625335903200001E-3</v>
      </c>
      <c r="F97" s="1">
        <v>-2.5032160358400002E-3</v>
      </c>
      <c r="G97">
        <v>0</v>
      </c>
    </row>
    <row r="98" spans="1:7" x14ac:dyDescent="0.25">
      <c r="A98">
        <v>9.6</v>
      </c>
      <c r="B98">
        <v>-2124.1665534799999</v>
      </c>
      <c r="C98">
        <v>2921345.5318300002</v>
      </c>
      <c r="D98" s="1">
        <v>0</v>
      </c>
      <c r="E98" s="1">
        <v>7.19896596811E-3</v>
      </c>
      <c r="F98" s="1">
        <v>-2.0025931228899998E-3</v>
      </c>
      <c r="G98">
        <v>0</v>
      </c>
    </row>
    <row r="99" spans="1:7" x14ac:dyDescent="0.25">
      <c r="A99">
        <v>9.6999999999999993</v>
      </c>
      <c r="B99">
        <v>-2129.5575933300001</v>
      </c>
      <c r="C99">
        <v>2823831.5863700002</v>
      </c>
      <c r="D99" s="1">
        <v>0</v>
      </c>
      <c r="E99" s="1">
        <v>6.83525962488E-3</v>
      </c>
      <c r="F99" s="1">
        <v>-1.5019746444900001E-3</v>
      </c>
      <c r="G99">
        <v>0</v>
      </c>
    </row>
    <row r="100" spans="1:7" x14ac:dyDescent="0.25">
      <c r="A100">
        <v>9.8000000000000007</v>
      </c>
      <c r="B100">
        <v>-2134.9486331799999</v>
      </c>
      <c r="C100">
        <v>2726317.6409100001</v>
      </c>
      <c r="D100" s="1">
        <v>0</v>
      </c>
      <c r="E100" s="1">
        <v>6.4715532816499999E-3</v>
      </c>
      <c r="F100" s="1">
        <v>-1.0013561660899999E-3</v>
      </c>
      <c r="G100">
        <v>0</v>
      </c>
    </row>
    <row r="101" spans="1:7" x14ac:dyDescent="0.25">
      <c r="A101">
        <v>9.9</v>
      </c>
      <c r="B101">
        <v>-2140.33967304</v>
      </c>
      <c r="C101">
        <v>2628803.6954600001</v>
      </c>
      <c r="D101" s="1">
        <v>0</v>
      </c>
      <c r="E101" s="1">
        <v>6.1078469384299996E-3</v>
      </c>
      <c r="F101" s="1">
        <v>-5.0073768768900005E-4</v>
      </c>
      <c r="G101">
        <v>0</v>
      </c>
    </row>
    <row r="102" spans="1:7" x14ac:dyDescent="0.25">
      <c r="A102">
        <v>10</v>
      </c>
      <c r="B102">
        <v>-2145.7307128900002</v>
      </c>
      <c r="C102">
        <v>2531289.75</v>
      </c>
      <c r="D102" s="1">
        <v>0</v>
      </c>
      <c r="E102" s="1">
        <v>5.7441405952000004E-3</v>
      </c>
      <c r="F102" s="1">
        <v>-1.19209289551E-7</v>
      </c>
      <c r="G102">
        <v>0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02"/>
  <sheetViews>
    <sheetView topLeftCell="A66" zoomScaleNormal="100" workbookViewId="0">
      <selection activeCell="F62" sqref="F62:F102"/>
    </sheetView>
  </sheetViews>
  <sheetFormatPr defaultRowHeight="15" x14ac:dyDescent="0.25"/>
  <cols>
    <col min="1" max="1" width="5.140625" bestFit="1" customWidth="1"/>
    <col min="2" max="3" width="12.7109375" bestFit="1" customWidth="1"/>
    <col min="4" max="6" width="12.7109375" customWidth="1"/>
    <col min="7" max="7" width="9" customWidth="1"/>
    <col min="8" max="10" width="12.7109375" bestFit="1" customWidth="1"/>
  </cols>
  <sheetData>
    <row r="1" spans="1:7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25">
      <c r="A2">
        <v>0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</row>
    <row r="3" spans="1:7" x14ac:dyDescent="0.25">
      <c r="A3">
        <v>0.1</v>
      </c>
      <c r="B3">
        <v>2404823.3750100001</v>
      </c>
      <c r="C3">
        <v>6864652.8659300003</v>
      </c>
      <c r="D3">
        <v>-165248.93681799999</v>
      </c>
      <c r="E3" s="1">
        <v>-7.6230890425499996E-5</v>
      </c>
      <c r="F3" s="1">
        <v>4.7275170054300001E-4</v>
      </c>
      <c r="G3" s="1">
        <v>-2.7988517047299998E-6</v>
      </c>
    </row>
    <row r="4" spans="1:7" x14ac:dyDescent="0.25">
      <c r="A4">
        <v>0.2</v>
      </c>
      <c r="B4">
        <v>3817876.0326399999</v>
      </c>
      <c r="C4">
        <v>13008560.3212</v>
      </c>
      <c r="D4">
        <v>-233826.72799499999</v>
      </c>
      <c r="E4">
        <v>-2.2878039335500001E-4</v>
      </c>
      <c r="F4">
        <v>9.4565283574300004E-4</v>
      </c>
      <c r="G4" s="1">
        <v>1.0746253268300001E-5</v>
      </c>
    </row>
    <row r="5" spans="1:7" x14ac:dyDescent="0.25">
      <c r="A5">
        <v>0.3</v>
      </c>
      <c r="B5">
        <v>4541478.8212900003</v>
      </c>
      <c r="C5">
        <v>18484853.663600001</v>
      </c>
      <c r="D5">
        <v>-269213.03849499999</v>
      </c>
      <c r="E5">
        <v>-4.2606696391100002E-4</v>
      </c>
      <c r="F5" s="1">
        <v>1.41292824326E-3</v>
      </c>
      <c r="G5" s="1">
        <v>1.72802553149E-5</v>
      </c>
    </row>
    <row r="6" spans="1:7" x14ac:dyDescent="0.25">
      <c r="A6">
        <v>0.4</v>
      </c>
      <c r="B6">
        <v>5099497.7541500004</v>
      </c>
      <c r="C6">
        <v>22958147.2881</v>
      </c>
      <c r="D6">
        <v>1086.3947326099999</v>
      </c>
      <c r="E6">
        <v>-6.1168886354500004E-4</v>
      </c>
      <c r="F6">
        <v>1.8186028859E-3</v>
      </c>
      <c r="G6" s="1">
        <v>4.2339967387399999E-5</v>
      </c>
    </row>
    <row r="7" spans="1:7" x14ac:dyDescent="0.25">
      <c r="A7">
        <v>0.5</v>
      </c>
      <c r="B7">
        <v>5556670.1805600002</v>
      </c>
      <c r="C7">
        <v>24667171.438299999</v>
      </c>
      <c r="D7">
        <v>-412287.70469599997</v>
      </c>
      <c r="E7">
        <v>-8.1731610884499997E-4</v>
      </c>
      <c r="F7" s="1">
        <v>2.2368780265999999E-3</v>
      </c>
      <c r="G7" s="1">
        <v>7.3747665983199995E-5</v>
      </c>
    </row>
    <row r="8" spans="1:7" x14ac:dyDescent="0.25">
      <c r="A8">
        <v>0.6</v>
      </c>
      <c r="B8">
        <v>5245575.6070800005</v>
      </c>
      <c r="C8">
        <v>25478559.090300001</v>
      </c>
      <c r="D8">
        <v>-465546.41024100001</v>
      </c>
      <c r="E8">
        <v>-1.07278698678E-3</v>
      </c>
      <c r="F8">
        <v>2.5956433092000001E-3</v>
      </c>
      <c r="G8" s="1">
        <v>1.6272708337700001E-4</v>
      </c>
    </row>
    <row r="9" spans="1:7" x14ac:dyDescent="0.25">
      <c r="A9">
        <v>0.7</v>
      </c>
      <c r="B9">
        <v>2573959.61038</v>
      </c>
      <c r="C9">
        <v>16990875.733800001</v>
      </c>
      <c r="D9">
        <v>-564155.44755599997</v>
      </c>
      <c r="E9">
        <v>-1.17936992042E-3</v>
      </c>
      <c r="F9" s="1">
        <v>2.9853067607799998E-3</v>
      </c>
      <c r="G9" s="1">
        <v>2.4458539485299998E-4</v>
      </c>
    </row>
    <row r="10" spans="1:7" x14ac:dyDescent="0.25">
      <c r="A10">
        <v>0.8</v>
      </c>
      <c r="B10">
        <v>1974807.29544</v>
      </c>
      <c r="C10">
        <v>16283780.758400001</v>
      </c>
      <c r="D10">
        <v>-978659.69924500003</v>
      </c>
      <c r="E10">
        <v>-1.2601048181399999E-3</v>
      </c>
      <c r="F10">
        <v>3.4574937231300002E-3</v>
      </c>
      <c r="G10" s="1">
        <v>3.5043148676799999E-4</v>
      </c>
    </row>
    <row r="11" spans="1:7" x14ac:dyDescent="0.25">
      <c r="A11">
        <v>0.9</v>
      </c>
      <c r="B11">
        <v>2933113.35622</v>
      </c>
      <c r="C11">
        <v>15956947.7919</v>
      </c>
      <c r="D11">
        <v>-765853.30578699999</v>
      </c>
      <c r="E11">
        <v>-1.29154071498E-3</v>
      </c>
      <c r="F11" s="1">
        <v>3.8554089176700002E-3</v>
      </c>
      <c r="G11" s="1">
        <v>5.0140799555200004E-4</v>
      </c>
    </row>
    <row r="12" spans="1:7" x14ac:dyDescent="0.25">
      <c r="A12">
        <v>1</v>
      </c>
      <c r="B12">
        <v>3342884.3778400002</v>
      </c>
      <c r="C12">
        <v>14913047.6401</v>
      </c>
      <c r="D12">
        <v>-342530.27771200001</v>
      </c>
      <c r="E12" s="1">
        <v>-1.33858575355E-3</v>
      </c>
      <c r="F12">
        <v>4.15705918988E-3</v>
      </c>
      <c r="G12" s="1">
        <v>6.30454842046E-4</v>
      </c>
    </row>
    <row r="13" spans="1:7" x14ac:dyDescent="0.25">
      <c r="A13">
        <v>1.1000000000000001</v>
      </c>
      <c r="B13">
        <v>-139939.463254</v>
      </c>
      <c r="C13">
        <v>9618846.5151099991</v>
      </c>
      <c r="D13">
        <v>1146451.5755700001</v>
      </c>
      <c r="E13" s="1">
        <v>-1.2767811547800001E-3</v>
      </c>
      <c r="F13" s="1">
        <v>3.7298574183900002E-3</v>
      </c>
      <c r="G13" s="1">
        <v>6.1040419137900004E-4</v>
      </c>
    </row>
    <row r="14" spans="1:7" x14ac:dyDescent="0.25">
      <c r="A14">
        <v>1.2</v>
      </c>
      <c r="B14">
        <v>-1022693.82739</v>
      </c>
      <c r="C14">
        <v>7463699.6300600003</v>
      </c>
      <c r="D14">
        <v>1163713.81348</v>
      </c>
      <c r="E14">
        <v>-1.1724425164799999E-3</v>
      </c>
      <c r="F14">
        <v>3.2631121046400001E-3</v>
      </c>
      <c r="G14" s="1">
        <v>5.5934213911299998E-4</v>
      </c>
    </row>
    <row r="15" spans="1:7" x14ac:dyDescent="0.25">
      <c r="A15">
        <v>1.3</v>
      </c>
      <c r="B15">
        <v>-1602921.2039399999</v>
      </c>
      <c r="C15">
        <v>5572539.0013800003</v>
      </c>
      <c r="D15">
        <v>1098100.1408200001</v>
      </c>
      <c r="E15">
        <v>-1.0508604562099999E-3</v>
      </c>
      <c r="F15" s="1">
        <v>2.8139778572100001E-3</v>
      </c>
      <c r="G15" s="1">
        <v>4.99343173283E-4</v>
      </c>
    </row>
    <row r="16" spans="1:7" x14ac:dyDescent="0.25">
      <c r="A16">
        <v>1.4</v>
      </c>
      <c r="B16">
        <v>-1968493.93759</v>
      </c>
      <c r="C16">
        <v>3886036.51945</v>
      </c>
      <c r="D16">
        <v>1030094.47241</v>
      </c>
      <c r="E16">
        <v>-9.1754547737499996E-4</v>
      </c>
      <c r="F16">
        <v>2.3714438071000001E-3</v>
      </c>
      <c r="G16" s="1">
        <v>4.3729249031699999E-4</v>
      </c>
    </row>
    <row r="17" spans="1:7" x14ac:dyDescent="0.25">
      <c r="A17">
        <v>1.5</v>
      </c>
      <c r="B17">
        <v>-2245427.7376700002</v>
      </c>
      <c r="C17">
        <v>2324468.57944</v>
      </c>
      <c r="D17">
        <v>966746.44753500004</v>
      </c>
      <c r="E17">
        <v>-7.8210075579899997E-4</v>
      </c>
      <c r="F17" s="1">
        <v>1.9333753090800001E-3</v>
      </c>
      <c r="G17" s="1">
        <v>3.8363028365000001E-4</v>
      </c>
    </row>
    <row r="18" spans="1:7" x14ac:dyDescent="0.25">
      <c r="A18">
        <v>1.6</v>
      </c>
      <c r="B18">
        <v>-2428426.08317</v>
      </c>
      <c r="C18">
        <v>1185362.4625800001</v>
      </c>
      <c r="D18">
        <v>834974.14401299995</v>
      </c>
      <c r="E18" s="1">
        <v>-6.5616649937699995E-4</v>
      </c>
      <c r="F18">
        <v>1.5243113871900001E-3</v>
      </c>
      <c r="G18" s="1">
        <v>3.1790592909499999E-4</v>
      </c>
    </row>
    <row r="19" spans="1:7" x14ac:dyDescent="0.25">
      <c r="A19">
        <v>1.7</v>
      </c>
      <c r="B19">
        <v>-2664189.2787299999</v>
      </c>
      <c r="C19">
        <v>-217986.50533499999</v>
      </c>
      <c r="D19">
        <v>711196.78696299996</v>
      </c>
      <c r="E19" s="1">
        <v>-5.2395778134599997E-4</v>
      </c>
      <c r="F19" s="1">
        <v>1.1001934697300001E-3</v>
      </c>
      <c r="G19" s="1">
        <v>2.55761988588E-4</v>
      </c>
    </row>
    <row r="20" spans="1:7" x14ac:dyDescent="0.25">
      <c r="A20">
        <v>1.8</v>
      </c>
      <c r="B20">
        <v>-2897832.73752</v>
      </c>
      <c r="C20">
        <v>-1580097.98489</v>
      </c>
      <c r="D20">
        <v>576785.87107700005</v>
      </c>
      <c r="E20" s="1">
        <v>-3.9215770754099998E-4</v>
      </c>
      <c r="F20">
        <v>6.8197434594499998E-4</v>
      </c>
      <c r="G20" s="1">
        <v>1.86889189083E-4</v>
      </c>
    </row>
    <row r="21" spans="1:7" x14ac:dyDescent="0.25">
      <c r="A21">
        <v>1.9</v>
      </c>
      <c r="B21">
        <v>-3180150.5523899999</v>
      </c>
      <c r="C21">
        <v>-3397090.3793600001</v>
      </c>
      <c r="D21">
        <v>459276.30870300002</v>
      </c>
      <c r="E21" s="1">
        <v>-2.5104437050599998E-4</v>
      </c>
      <c r="F21" s="1">
        <v>2.5850450396600001E-4</v>
      </c>
      <c r="G21" s="1">
        <v>1.24378389751E-4</v>
      </c>
    </row>
    <row r="22" spans="1:7" x14ac:dyDescent="0.25">
      <c r="A22">
        <v>2</v>
      </c>
      <c r="B22">
        <v>-3489586.1220200001</v>
      </c>
      <c r="C22">
        <v>-5426750.2094599996</v>
      </c>
      <c r="D22">
        <v>268581.23610899999</v>
      </c>
      <c r="E22" s="1">
        <v>-1.13476822612E-4</v>
      </c>
      <c r="F22">
        <v>-1.4652658455500001E-4</v>
      </c>
      <c r="G22" s="1">
        <v>6.0181801673899999E-5</v>
      </c>
    </row>
    <row r="23" spans="1:7" x14ac:dyDescent="0.25">
      <c r="A23">
        <v>2.1</v>
      </c>
      <c r="B23">
        <v>-3942749.2944700001</v>
      </c>
      <c r="C23">
        <v>-8692379.5460400004</v>
      </c>
      <c r="D23">
        <v>29420.674865699999</v>
      </c>
      <c r="E23" s="1">
        <v>4.7281906149800001E-5</v>
      </c>
      <c r="F23" s="1">
        <v>-5.4969598648800001E-4</v>
      </c>
      <c r="G23" s="1">
        <v>6.8064644325299996E-7</v>
      </c>
    </row>
    <row r="24" spans="1:7" x14ac:dyDescent="0.25">
      <c r="A24">
        <v>2.2000000000000002</v>
      </c>
      <c r="B24">
        <v>-4434849.7595699998</v>
      </c>
      <c r="C24">
        <v>-13923365.334100001</v>
      </c>
      <c r="D24">
        <v>57868.966659400001</v>
      </c>
      <c r="E24" s="1">
        <v>2.33663482447E-4</v>
      </c>
      <c r="F24">
        <v>-1.0014824311E-3</v>
      </c>
      <c r="G24" s="1">
        <v>-2.3699437134499999E-5</v>
      </c>
    </row>
    <row r="25" spans="1:7" x14ac:dyDescent="0.25">
      <c r="A25">
        <v>2.2999999999999998</v>
      </c>
      <c r="B25">
        <v>-4703705.8782799998</v>
      </c>
      <c r="C25">
        <v>-19742848.8257</v>
      </c>
      <c r="D25">
        <v>63467.973057099996</v>
      </c>
      <c r="E25" s="1">
        <v>4.5926790004999999E-4</v>
      </c>
      <c r="F25" s="1">
        <v>-1.4843978350199999E-3</v>
      </c>
      <c r="G25" s="1">
        <v>-3.1664615304999999E-5</v>
      </c>
    </row>
    <row r="26" spans="1:7" x14ac:dyDescent="0.25">
      <c r="A26">
        <v>2.4</v>
      </c>
      <c r="B26">
        <v>-4850302.6675300002</v>
      </c>
      <c r="C26">
        <v>-25533692.089899998</v>
      </c>
      <c r="D26">
        <v>114162.467139</v>
      </c>
      <c r="E26" s="1">
        <v>6.9337181136600002E-4</v>
      </c>
      <c r="F26">
        <v>-1.96906791974E-3</v>
      </c>
      <c r="G26" s="1">
        <v>-3.9145122557800001E-5</v>
      </c>
    </row>
    <row r="27" spans="1:7" x14ac:dyDescent="0.25">
      <c r="A27">
        <v>2.5</v>
      </c>
      <c r="B27">
        <v>-5096559.5459899995</v>
      </c>
      <c r="C27">
        <v>-31135786.380600002</v>
      </c>
      <c r="D27">
        <v>18822.763281799998</v>
      </c>
      <c r="E27" s="1">
        <v>9.1421305839300005E-4</v>
      </c>
      <c r="F27" s="1">
        <v>-2.43316186538E-3</v>
      </c>
      <c r="G27" s="1">
        <v>-6.3371538558399998E-5</v>
      </c>
    </row>
    <row r="28" spans="1:7" x14ac:dyDescent="0.25">
      <c r="A28">
        <v>2.6</v>
      </c>
      <c r="B28">
        <v>-5314780.8785199998</v>
      </c>
      <c r="C28">
        <v>-36229557.612499997</v>
      </c>
      <c r="D28">
        <v>134802.038436</v>
      </c>
      <c r="E28" s="1">
        <v>1.16549453893E-3</v>
      </c>
      <c r="F28">
        <v>-2.8932534176199999E-3</v>
      </c>
      <c r="G28" s="1">
        <v>-4.12639820071E-5</v>
      </c>
    </row>
    <row r="29" spans="1:7" x14ac:dyDescent="0.25">
      <c r="A29">
        <v>2.7</v>
      </c>
      <c r="B29">
        <v>-5379242.3124700002</v>
      </c>
      <c r="C29">
        <v>-41750657.1241</v>
      </c>
      <c r="D29">
        <v>173727.61751099999</v>
      </c>
      <c r="E29" s="1">
        <v>1.4128661555100001E-3</v>
      </c>
      <c r="F29" s="1">
        <v>-3.3711525075799998E-3</v>
      </c>
      <c r="G29" s="1">
        <v>-3.1916448931699999E-5</v>
      </c>
    </row>
    <row r="30" spans="1:7" x14ac:dyDescent="0.25">
      <c r="A30">
        <v>2.8</v>
      </c>
      <c r="B30">
        <v>-5789557.4312399998</v>
      </c>
      <c r="C30">
        <v>-46049867.961300001</v>
      </c>
      <c r="D30">
        <v>-304397.144073</v>
      </c>
      <c r="E30" s="1">
        <v>1.82821495923E-3</v>
      </c>
      <c r="F30" s="1">
        <v>-3.88589194723E-3</v>
      </c>
      <c r="G30" s="1">
        <v>-7.41728613715E-5</v>
      </c>
    </row>
    <row r="31" spans="1:7" x14ac:dyDescent="0.25">
      <c r="A31">
        <v>2.9</v>
      </c>
      <c r="B31">
        <v>-5650006.1789699998</v>
      </c>
      <c r="C31">
        <v>-50691153.508599997</v>
      </c>
      <c r="D31">
        <v>-270466.96739900002</v>
      </c>
      <c r="E31" s="1">
        <v>2.1343358957400002E-3</v>
      </c>
      <c r="F31" s="1">
        <v>-4.3597914892800002E-3</v>
      </c>
      <c r="G31" s="1">
        <v>-8.8960865200999998E-5</v>
      </c>
    </row>
    <row r="32" spans="1:7" x14ac:dyDescent="0.25">
      <c r="A32">
        <v>3</v>
      </c>
      <c r="B32">
        <v>-5512174.5288699996</v>
      </c>
      <c r="C32">
        <v>-55945880.4485</v>
      </c>
      <c r="D32">
        <v>-259930.65583900001</v>
      </c>
      <c r="E32" s="1">
        <v>2.4148998621399999E-3</v>
      </c>
      <c r="F32">
        <v>-4.84203411306E-3</v>
      </c>
      <c r="G32" s="1">
        <v>-9.0251711739800005E-5</v>
      </c>
    </row>
    <row r="33" spans="1:7" x14ac:dyDescent="0.25">
      <c r="A33">
        <v>3.1</v>
      </c>
      <c r="B33">
        <v>-6969832.7620099997</v>
      </c>
      <c r="C33">
        <v>-59809740.222099997</v>
      </c>
      <c r="D33">
        <v>-781735.669413</v>
      </c>
      <c r="E33" s="1">
        <v>2.8302765658300001E-3</v>
      </c>
      <c r="F33" s="1">
        <v>-5.3227691381599997E-3</v>
      </c>
      <c r="G33" s="1">
        <v>-1.5219908030300001E-4</v>
      </c>
    </row>
    <row r="34" spans="1:7" x14ac:dyDescent="0.25">
      <c r="A34">
        <v>3.2</v>
      </c>
      <c r="B34">
        <v>-6558674.4830299998</v>
      </c>
      <c r="C34">
        <v>-64584752.7949</v>
      </c>
      <c r="D34">
        <v>-810932.191291</v>
      </c>
      <c r="E34" s="1">
        <v>3.1647635417900001E-3</v>
      </c>
      <c r="F34">
        <v>-5.8055995567500001E-3</v>
      </c>
      <c r="G34" s="1">
        <v>-1.50722729837E-4</v>
      </c>
    </row>
    <row r="35" spans="1:7" x14ac:dyDescent="0.25">
      <c r="A35">
        <v>3.3</v>
      </c>
      <c r="B35">
        <v>-6604702.3587699998</v>
      </c>
      <c r="C35">
        <v>-69435869.629299998</v>
      </c>
      <c r="D35">
        <v>-1012579.28264</v>
      </c>
      <c r="E35" s="1">
        <v>3.4419597558100002E-3</v>
      </c>
      <c r="F35" s="1">
        <v>-6.2528848014100002E-3</v>
      </c>
      <c r="G35" s="1">
        <v>-1.8119908454300001E-4</v>
      </c>
    </row>
    <row r="36" spans="1:7" x14ac:dyDescent="0.25">
      <c r="A36">
        <v>3.4</v>
      </c>
      <c r="B36">
        <v>-7864010.6436299998</v>
      </c>
      <c r="C36">
        <v>-74308044.211199999</v>
      </c>
      <c r="D36">
        <v>-1038690.40597</v>
      </c>
      <c r="E36" s="1">
        <v>3.7689702522400001E-3</v>
      </c>
      <c r="F36">
        <v>-6.7179910472399997E-3</v>
      </c>
      <c r="G36" s="1">
        <v>-1.80567999919E-4</v>
      </c>
    </row>
    <row r="37" spans="1:7" x14ac:dyDescent="0.25">
      <c r="A37">
        <v>3.5</v>
      </c>
      <c r="B37">
        <v>-7346281.5370500004</v>
      </c>
      <c r="C37">
        <v>-78918232.492200002</v>
      </c>
      <c r="D37">
        <v>-1029400.4428</v>
      </c>
      <c r="E37" s="1">
        <v>4.11554285962E-3</v>
      </c>
      <c r="F37" s="1">
        <v>-7.1957632461700002E-3</v>
      </c>
      <c r="G37" s="1">
        <v>-1.8498730945600001E-4</v>
      </c>
    </row>
    <row r="38" spans="1:7" x14ac:dyDescent="0.25">
      <c r="A38">
        <v>3.6</v>
      </c>
      <c r="B38">
        <v>-8680953.8213</v>
      </c>
      <c r="C38">
        <v>-82905768.122899994</v>
      </c>
      <c r="D38">
        <v>-1256637.17735</v>
      </c>
      <c r="E38" s="1">
        <v>4.5275295909399998E-3</v>
      </c>
      <c r="F38">
        <v>-7.6771256020400002E-3</v>
      </c>
      <c r="G38" s="1">
        <v>-1.7357078751099999E-4</v>
      </c>
    </row>
    <row r="39" spans="1:7" x14ac:dyDescent="0.25">
      <c r="A39">
        <v>3.7</v>
      </c>
      <c r="B39">
        <v>-8840566.6336000003</v>
      </c>
      <c r="C39">
        <v>-86220133.626000002</v>
      </c>
      <c r="D39">
        <v>-1205269.60173</v>
      </c>
      <c r="E39" s="1">
        <v>4.9663214609499996E-3</v>
      </c>
      <c r="F39" s="1">
        <v>-8.1227693510999999E-3</v>
      </c>
      <c r="G39" s="1">
        <v>-2.2056576761599999E-4</v>
      </c>
    </row>
    <row r="40" spans="1:7" x14ac:dyDescent="0.25">
      <c r="A40">
        <v>3.8</v>
      </c>
      <c r="B40">
        <v>-7699593.7522999998</v>
      </c>
      <c r="C40">
        <v>-88278531.904799998</v>
      </c>
      <c r="D40">
        <v>-1309962.42395</v>
      </c>
      <c r="E40" s="1">
        <v>5.6753663602000003E-3</v>
      </c>
      <c r="F40">
        <v>-8.6310420549199993E-3</v>
      </c>
      <c r="G40" s="1">
        <v>-1.4126066620799999E-4</v>
      </c>
    </row>
    <row r="41" spans="1:7" x14ac:dyDescent="0.25">
      <c r="A41">
        <v>3.9</v>
      </c>
      <c r="B41">
        <v>-7432310.6343099996</v>
      </c>
      <c r="C41">
        <v>-92194337.594899997</v>
      </c>
      <c r="D41">
        <v>-1511234.0198599999</v>
      </c>
      <c r="E41" s="1">
        <v>6.1315348934300002E-3</v>
      </c>
      <c r="F41" s="1">
        <v>-9.0986155420700009E-3</v>
      </c>
      <c r="G41" s="1">
        <v>-1.2800520136000001E-4</v>
      </c>
    </row>
    <row r="42" spans="1:7" x14ac:dyDescent="0.25">
      <c r="A42">
        <v>4</v>
      </c>
      <c r="B42">
        <v>-7573906.6182399997</v>
      </c>
      <c r="C42">
        <v>-94680647.670900002</v>
      </c>
      <c r="D42">
        <v>-2378425.5777400001</v>
      </c>
      <c r="E42" s="1">
        <v>6.7191724976599998E-3</v>
      </c>
      <c r="F42" s="1">
        <v>-9.5382422181300008E-3</v>
      </c>
      <c r="G42" s="1">
        <v>-1.4222272576999999E-4</v>
      </c>
    </row>
    <row r="43" spans="1:7" x14ac:dyDescent="0.25">
      <c r="A43">
        <v>4.0999999999999996</v>
      </c>
      <c r="B43">
        <v>-7832411.2282400001</v>
      </c>
      <c r="C43">
        <v>-97188569.028899997</v>
      </c>
      <c r="D43">
        <v>-2537566.4441800001</v>
      </c>
      <c r="E43" s="1">
        <v>7.4250620455599999E-3</v>
      </c>
      <c r="F43" s="1">
        <v>-9.9963894435899994E-3</v>
      </c>
      <c r="G43" s="1">
        <v>-1.08797377935E-4</v>
      </c>
    </row>
    <row r="44" spans="1:7" x14ac:dyDescent="0.25">
      <c r="A44">
        <v>4.2</v>
      </c>
      <c r="B44">
        <v>-8807993.6346199997</v>
      </c>
      <c r="C44">
        <v>-100104505.264</v>
      </c>
      <c r="D44">
        <v>-2800619.5684400001</v>
      </c>
      <c r="E44" s="1">
        <v>8.0757762908099991E-3</v>
      </c>
      <c r="F44" s="1">
        <v>-1.04601346163E-2</v>
      </c>
      <c r="G44" s="1">
        <v>-5.25338009736E-5</v>
      </c>
    </row>
    <row r="45" spans="1:7" x14ac:dyDescent="0.25">
      <c r="A45">
        <v>4.3</v>
      </c>
      <c r="B45">
        <v>-12358273.630100001</v>
      </c>
      <c r="C45">
        <v>-100685380.97499999</v>
      </c>
      <c r="D45">
        <v>-2380829.39029</v>
      </c>
      <c r="E45" s="1">
        <v>9.5302174801399995E-3</v>
      </c>
      <c r="F45" s="1">
        <v>-1.09337287455E-2</v>
      </c>
      <c r="G45" s="1">
        <v>-7.9931719912899999E-7</v>
      </c>
    </row>
    <row r="46" spans="1:7" x14ac:dyDescent="0.25">
      <c r="A46">
        <v>4.4000000000000004</v>
      </c>
      <c r="B46">
        <v>-9959830.2794499993</v>
      </c>
      <c r="C46">
        <v>-99629596.925999999</v>
      </c>
      <c r="D46">
        <v>-2965583.2908999999</v>
      </c>
      <c r="E46" s="1">
        <v>1.0893848445500001E-2</v>
      </c>
      <c r="F46" s="1">
        <v>-1.1357802057899999E-2</v>
      </c>
      <c r="G46" s="1">
        <v>-1.00131159549E-4</v>
      </c>
    </row>
    <row r="47" spans="1:7" x14ac:dyDescent="0.25">
      <c r="A47">
        <v>4.5</v>
      </c>
      <c r="B47">
        <v>-9355233.0536400005</v>
      </c>
      <c r="C47">
        <v>-101571413.23800001</v>
      </c>
      <c r="D47">
        <v>-3036877.18695</v>
      </c>
      <c r="E47" s="1">
        <v>1.16599602941E-2</v>
      </c>
      <c r="F47" s="1">
        <v>-1.1797334745899999E-2</v>
      </c>
      <c r="G47" s="1">
        <v>-8.0352049081599996E-5</v>
      </c>
    </row>
    <row r="48" spans="1:7" x14ac:dyDescent="0.25">
      <c r="A48">
        <v>4.5999999999999996</v>
      </c>
      <c r="B48">
        <v>-9000234.7547200006</v>
      </c>
      <c r="C48">
        <v>-103936948.457</v>
      </c>
      <c r="D48">
        <v>-2874150.8976799999</v>
      </c>
      <c r="E48" s="1">
        <v>1.2474706499600001E-2</v>
      </c>
      <c r="F48" s="1">
        <v>-1.2270160737399999E-2</v>
      </c>
      <c r="G48" s="1">
        <v>-6.0467371082800002E-5</v>
      </c>
    </row>
    <row r="49" spans="1:7" x14ac:dyDescent="0.25">
      <c r="A49">
        <v>4.7</v>
      </c>
      <c r="B49">
        <v>-10924274.330700001</v>
      </c>
      <c r="C49">
        <v>-107009866.77</v>
      </c>
      <c r="D49">
        <v>-2674997.33317</v>
      </c>
      <c r="E49" s="1">
        <v>1.32676457985E-2</v>
      </c>
      <c r="F49" s="1">
        <v>-1.28639299352E-2</v>
      </c>
      <c r="G49" s="1">
        <v>4.8661726949999998E-6</v>
      </c>
    </row>
    <row r="50" spans="1:7" x14ac:dyDescent="0.25">
      <c r="A50">
        <v>4.8</v>
      </c>
      <c r="B50">
        <v>-11165636.5085</v>
      </c>
      <c r="C50">
        <v>-108665291.487</v>
      </c>
      <c r="D50">
        <v>-2657318.8227400002</v>
      </c>
      <c r="E50" s="1">
        <v>1.3921120410299999E-2</v>
      </c>
      <c r="F50" s="1">
        <v>-1.32018694348E-2</v>
      </c>
      <c r="G50" s="1">
        <v>-2.4056218415399998E-6</v>
      </c>
    </row>
    <row r="51" spans="1:7" x14ac:dyDescent="0.25">
      <c r="A51">
        <v>4.9000000000000004</v>
      </c>
      <c r="B51">
        <v>-11834353.4779</v>
      </c>
      <c r="C51">
        <v>-109578539.234</v>
      </c>
      <c r="D51">
        <v>-2022290.1379499999</v>
      </c>
      <c r="E51" s="1">
        <v>1.46929480405E-2</v>
      </c>
      <c r="F51" s="1">
        <v>-1.35051620264E-2</v>
      </c>
      <c r="G51" s="1">
        <v>5.2479859280899998E-5</v>
      </c>
    </row>
    <row r="52" spans="1:7" x14ac:dyDescent="0.25">
      <c r="A52">
        <v>5</v>
      </c>
      <c r="B52">
        <v>-11076873.018200001</v>
      </c>
      <c r="C52">
        <v>-110083785.627</v>
      </c>
      <c r="D52">
        <v>-2744204.24548</v>
      </c>
      <c r="E52" s="1">
        <v>1.6095921910000002E-2</v>
      </c>
      <c r="F52" s="1">
        <v>-1.40139068222E-2</v>
      </c>
      <c r="G52" s="1">
        <v>-4.2336770557100002E-5</v>
      </c>
    </row>
    <row r="53" spans="1:7" x14ac:dyDescent="0.25">
      <c r="A53">
        <v>5.0999999999999996</v>
      </c>
      <c r="B53">
        <v>-11256318.215600001</v>
      </c>
      <c r="C53">
        <v>-110919824.05599999</v>
      </c>
      <c r="D53">
        <v>-3435304.99389</v>
      </c>
      <c r="E53" s="1">
        <v>1.7769418630800001E-2</v>
      </c>
      <c r="F53" s="1">
        <v>-1.4497718188999999E-2</v>
      </c>
      <c r="G53" s="1">
        <v>8.4896641040500008E-6</v>
      </c>
    </row>
    <row r="54" spans="1:7" x14ac:dyDescent="0.25">
      <c r="A54">
        <v>5.2</v>
      </c>
      <c r="B54">
        <v>-11900186.4438</v>
      </c>
      <c r="C54">
        <v>-112556137.832</v>
      </c>
      <c r="D54">
        <v>-3559956.2118600002</v>
      </c>
      <c r="E54" s="1">
        <v>1.8794946966400002E-2</v>
      </c>
      <c r="F54" s="1">
        <v>-1.49111381525E-2</v>
      </c>
      <c r="G54" s="1">
        <v>5.9455241532400003E-5</v>
      </c>
    </row>
    <row r="55" spans="1:7" x14ac:dyDescent="0.25">
      <c r="A55">
        <v>5.3</v>
      </c>
      <c r="B55">
        <v>-10877017.017200001</v>
      </c>
      <c r="C55">
        <v>-113753263.19499999</v>
      </c>
      <c r="D55">
        <v>-4322014.4440400004</v>
      </c>
      <c r="E55" s="1">
        <v>1.9710205935299999E-2</v>
      </c>
      <c r="F55" s="1">
        <v>-1.5363703113400001E-2</v>
      </c>
      <c r="G55" s="1">
        <v>2.5647035526300001E-5</v>
      </c>
    </row>
    <row r="56" spans="1:7" x14ac:dyDescent="0.25">
      <c r="A56">
        <v>5.4</v>
      </c>
      <c r="B56">
        <v>-10708988.828</v>
      </c>
      <c r="C56">
        <v>-115875270.671</v>
      </c>
      <c r="D56">
        <v>-4109118.74902</v>
      </c>
      <c r="E56" s="1">
        <v>2.05867090893E-2</v>
      </c>
      <c r="F56" s="1">
        <v>-1.5837573284400001E-2</v>
      </c>
      <c r="G56" s="1">
        <v>1.8572914777900001E-4</v>
      </c>
    </row>
    <row r="57" spans="1:7" x14ac:dyDescent="0.25">
      <c r="A57">
        <v>5.5</v>
      </c>
      <c r="B57">
        <v>-10566207.604900001</v>
      </c>
      <c r="C57">
        <v>-117640093.045</v>
      </c>
      <c r="D57">
        <v>-3412848.7747900002</v>
      </c>
      <c r="E57" s="1">
        <v>2.1610486094799999E-2</v>
      </c>
      <c r="F57" s="1">
        <v>-1.6289274445700001E-2</v>
      </c>
      <c r="G57" s="1">
        <v>3.0445893939600003E-4</v>
      </c>
    </row>
    <row r="58" spans="1:7" x14ac:dyDescent="0.25">
      <c r="A58">
        <v>5.6</v>
      </c>
      <c r="B58">
        <v>-10011048.4739</v>
      </c>
      <c r="C58">
        <v>-119414790.073</v>
      </c>
      <c r="D58">
        <v>-3459008.3860399998</v>
      </c>
      <c r="E58" s="1">
        <v>2.2578453851100001E-2</v>
      </c>
      <c r="F58" s="1">
        <v>-1.6756585285899999E-2</v>
      </c>
      <c r="G58" s="1">
        <v>3.62905563384E-4</v>
      </c>
    </row>
    <row r="59" spans="1:7" x14ac:dyDescent="0.25">
      <c r="A59">
        <v>5.7</v>
      </c>
      <c r="B59">
        <v>-11151264.3463</v>
      </c>
      <c r="C59">
        <v>-120319904.818</v>
      </c>
      <c r="D59">
        <v>-3395365.0092000002</v>
      </c>
      <c r="E59" s="1">
        <v>2.37739152526E-2</v>
      </c>
      <c r="F59" s="1">
        <v>-1.7227454924000001E-2</v>
      </c>
      <c r="G59" s="1">
        <v>1.8562191437000001E-4</v>
      </c>
    </row>
    <row r="60" spans="1:7" x14ac:dyDescent="0.25">
      <c r="A60">
        <v>5.8</v>
      </c>
      <c r="B60">
        <v>-10441624.8517</v>
      </c>
      <c r="C60">
        <v>-122077536.83</v>
      </c>
      <c r="D60">
        <v>-3343731.2718600002</v>
      </c>
      <c r="E60" s="1">
        <v>2.4780463438399999E-2</v>
      </c>
      <c r="F60" s="1">
        <v>-1.7716476109900001E-2</v>
      </c>
      <c r="G60" s="1">
        <v>2.3074185938999999E-4</v>
      </c>
    </row>
    <row r="61" spans="1:7" x14ac:dyDescent="0.25">
      <c r="A61">
        <v>5.9</v>
      </c>
      <c r="B61">
        <v>-12809839.2521</v>
      </c>
      <c r="C61">
        <v>-123219919.60699999</v>
      </c>
      <c r="D61">
        <v>-1339281.5356300001</v>
      </c>
      <c r="E61" s="1">
        <v>2.5664815318900001E-2</v>
      </c>
      <c r="F61" s="1">
        <v>-1.8126248635500001E-2</v>
      </c>
      <c r="G61" s="1">
        <v>4.5672962284400002E-4</v>
      </c>
    </row>
    <row r="62" spans="1:7" x14ac:dyDescent="0.25">
      <c r="A62">
        <v>6</v>
      </c>
      <c r="B62">
        <v>-11564174.982999999</v>
      </c>
      <c r="C62">
        <v>-122248515.69599999</v>
      </c>
      <c r="D62">
        <v>-1027108.3298900001</v>
      </c>
      <c r="E62" s="1">
        <v>2.7056376431199999E-2</v>
      </c>
      <c r="F62" s="1">
        <v>-1.8557547287100001E-2</v>
      </c>
      <c r="G62" s="1">
        <v>4.8643947239899999E-4</v>
      </c>
    </row>
    <row r="63" spans="1:7" x14ac:dyDescent="0.25">
      <c r="A63">
        <v>6.1</v>
      </c>
      <c r="B63">
        <v>-8437667.1741000004</v>
      </c>
      <c r="C63">
        <v>-112290915.302</v>
      </c>
      <c r="D63">
        <v>-228936.925885</v>
      </c>
      <c r="E63" s="1">
        <v>2.8175839417800001E-2</v>
      </c>
      <c r="F63" s="1">
        <v>-1.82798586402E-2</v>
      </c>
      <c r="G63" s="1">
        <v>7.3518590216599996E-4</v>
      </c>
    </row>
    <row r="64" spans="1:7" x14ac:dyDescent="0.25">
      <c r="A64">
        <v>6.2</v>
      </c>
      <c r="B64">
        <v>-6766333.8373600002</v>
      </c>
      <c r="C64">
        <v>-104445978.08499999</v>
      </c>
      <c r="D64">
        <v>-542234.13273700001</v>
      </c>
      <c r="E64" s="1">
        <v>2.9011921428199999E-2</v>
      </c>
      <c r="F64" s="1">
        <v>-1.7941843056900001E-2</v>
      </c>
      <c r="G64" s="1">
        <v>5.3824060792400004E-4</v>
      </c>
    </row>
    <row r="65" spans="1:7" x14ac:dyDescent="0.25">
      <c r="A65">
        <v>6.3</v>
      </c>
      <c r="B65">
        <v>-4825058.7269799998</v>
      </c>
      <c r="C65">
        <v>-96984583.067900002</v>
      </c>
      <c r="D65">
        <v>-472115.33818999998</v>
      </c>
      <c r="E65" s="1">
        <v>2.9384192993800001E-2</v>
      </c>
      <c r="F65" s="1">
        <v>-1.7480837272300001E-2</v>
      </c>
      <c r="G65" s="1">
        <v>5.71285227191E-4</v>
      </c>
    </row>
    <row r="66" spans="1:7" x14ac:dyDescent="0.25">
      <c r="A66">
        <v>6.4</v>
      </c>
      <c r="B66">
        <v>-3712276.99027</v>
      </c>
      <c r="C66">
        <v>-90447774.897699997</v>
      </c>
      <c r="D66">
        <v>-330881.25738000002</v>
      </c>
      <c r="E66" s="1">
        <v>2.96279928176E-2</v>
      </c>
      <c r="F66" s="1">
        <v>-1.7031039552299999E-2</v>
      </c>
      <c r="G66" s="1">
        <v>6.5043602403500001E-4</v>
      </c>
    </row>
    <row r="67" spans="1:7" x14ac:dyDescent="0.25">
      <c r="A67">
        <v>6.5</v>
      </c>
      <c r="B67">
        <v>-2474505.7362199998</v>
      </c>
      <c r="C67">
        <v>-83866596.697099999</v>
      </c>
      <c r="D67">
        <v>-65544.529035300002</v>
      </c>
      <c r="E67" s="1">
        <v>2.9781953205299999E-2</v>
      </c>
      <c r="F67" s="1">
        <v>-1.6554114749599998E-2</v>
      </c>
      <c r="G67" s="1">
        <v>7.4549737884799998E-4</v>
      </c>
    </row>
    <row r="68" spans="1:7" x14ac:dyDescent="0.25">
      <c r="A68">
        <v>6.6</v>
      </c>
      <c r="B68">
        <v>-1549860.0345399999</v>
      </c>
      <c r="C68">
        <v>-77578773.734599993</v>
      </c>
      <c r="D68">
        <v>153849.59479100001</v>
      </c>
      <c r="E68" s="1">
        <v>2.9882190189700002E-2</v>
      </c>
      <c r="F68" s="1">
        <v>-1.6076198149499999E-2</v>
      </c>
      <c r="G68" s="1">
        <v>8.0642096480400001E-4</v>
      </c>
    </row>
    <row r="69" spans="1:7" x14ac:dyDescent="0.25">
      <c r="A69">
        <v>6.7</v>
      </c>
      <c r="B69">
        <v>-1018201.4934</v>
      </c>
      <c r="C69">
        <v>-71388719.359599993</v>
      </c>
      <c r="D69">
        <v>311281.66661199997</v>
      </c>
      <c r="E69" s="1">
        <v>2.9981618326699998E-2</v>
      </c>
      <c r="F69" s="1">
        <v>-1.5604643388700001E-2</v>
      </c>
      <c r="G69" s="1">
        <v>8.2667985808600002E-4</v>
      </c>
    </row>
    <row r="70" spans="1:7" x14ac:dyDescent="0.25">
      <c r="A70">
        <v>6.8</v>
      </c>
      <c r="B70">
        <v>-1789230.11057</v>
      </c>
      <c r="C70">
        <v>-66695557.754500002</v>
      </c>
      <c r="D70">
        <v>438204.47869299998</v>
      </c>
      <c r="E70" s="1">
        <v>3.0213411731599998E-2</v>
      </c>
      <c r="F70" s="1">
        <v>-1.51857822195E-2</v>
      </c>
      <c r="G70" s="1">
        <v>8.1868013202200001E-4</v>
      </c>
    </row>
    <row r="71" spans="1:7" x14ac:dyDescent="0.25">
      <c r="A71">
        <v>6.9</v>
      </c>
      <c r="B71">
        <v>-1263659.2511700001</v>
      </c>
      <c r="C71">
        <v>-60960399.610399999</v>
      </c>
      <c r="D71">
        <v>523805.449547</v>
      </c>
      <c r="E71" s="1">
        <v>3.03915594112E-2</v>
      </c>
      <c r="F71" s="1">
        <v>-1.4764423208600001E-2</v>
      </c>
      <c r="G71" s="1">
        <v>7.8180262522900004E-4</v>
      </c>
    </row>
    <row r="72" spans="1:7" x14ac:dyDescent="0.25">
      <c r="A72">
        <v>7</v>
      </c>
      <c r="B72">
        <v>-767930.74781800003</v>
      </c>
      <c r="C72">
        <v>-55580925.9124</v>
      </c>
      <c r="D72">
        <v>473060.91032899998</v>
      </c>
      <c r="E72" s="1">
        <v>3.05162334068E-2</v>
      </c>
      <c r="F72" s="1">
        <v>-1.42939013265E-2</v>
      </c>
      <c r="G72" s="1">
        <v>8.1198802968800003E-4</v>
      </c>
    </row>
    <row r="73" spans="1:7" x14ac:dyDescent="0.25">
      <c r="A73">
        <v>7.1</v>
      </c>
      <c r="B73">
        <v>87725.923064999995</v>
      </c>
      <c r="C73">
        <v>-49993961.456</v>
      </c>
      <c r="D73">
        <v>620738.76916999999</v>
      </c>
      <c r="E73" s="1">
        <v>3.05908514886E-2</v>
      </c>
      <c r="F73" s="1">
        <v>-1.37906752225E-2</v>
      </c>
      <c r="G73" s="1">
        <v>8.7565336992000001E-4</v>
      </c>
    </row>
    <row r="74" spans="1:7" x14ac:dyDescent="0.25">
      <c r="A74">
        <v>7.2</v>
      </c>
      <c r="B74">
        <v>82986.601068100004</v>
      </c>
      <c r="C74">
        <v>-46465019.318099998</v>
      </c>
      <c r="D74">
        <v>333977.86806200002</v>
      </c>
      <c r="E74" s="1">
        <v>3.06462125446E-2</v>
      </c>
      <c r="F74" s="1">
        <v>-1.32952913499E-2</v>
      </c>
      <c r="G74" s="1">
        <v>9.1944422378599999E-4</v>
      </c>
    </row>
    <row r="75" spans="1:7" x14ac:dyDescent="0.25">
      <c r="A75">
        <v>7.3</v>
      </c>
      <c r="B75">
        <v>14056.1530948</v>
      </c>
      <c r="C75">
        <v>-43784007.748899996</v>
      </c>
      <c r="D75">
        <v>428313.20795399998</v>
      </c>
      <c r="E75" s="1">
        <v>3.0741406271499998E-2</v>
      </c>
      <c r="F75" s="1">
        <v>-1.2794488120200001E-2</v>
      </c>
      <c r="G75" s="1">
        <v>9.5226068323600002E-4</v>
      </c>
    </row>
    <row r="76" spans="1:7" x14ac:dyDescent="0.25">
      <c r="A76">
        <v>7.4</v>
      </c>
      <c r="B76">
        <v>379266.28939400002</v>
      </c>
      <c r="C76">
        <v>-39991148.499600001</v>
      </c>
      <c r="D76">
        <v>245197.56824200001</v>
      </c>
      <c r="E76" s="1">
        <v>3.0804713884700002E-2</v>
      </c>
      <c r="F76" s="1">
        <v>-1.22993198798E-2</v>
      </c>
      <c r="G76" s="1">
        <v>9.8547931730600009E-4</v>
      </c>
    </row>
    <row r="77" spans="1:7" x14ac:dyDescent="0.25">
      <c r="A77">
        <v>7.5</v>
      </c>
      <c r="B77">
        <v>646248.55617400003</v>
      </c>
      <c r="C77">
        <v>-36835051.375699997</v>
      </c>
      <c r="D77">
        <v>-95297.020342000003</v>
      </c>
      <c r="E77" s="1">
        <v>3.08197036409E-2</v>
      </c>
      <c r="F77" s="1">
        <v>-1.17957276055E-2</v>
      </c>
      <c r="G77" s="1">
        <v>1.0705644716099999E-3</v>
      </c>
    </row>
    <row r="78" spans="1:7" x14ac:dyDescent="0.25">
      <c r="A78">
        <v>7.6</v>
      </c>
      <c r="B78">
        <v>1170420.5730699999</v>
      </c>
      <c r="C78">
        <v>-33265177.259599999</v>
      </c>
      <c r="D78">
        <v>-136327.46530400001</v>
      </c>
      <c r="E78" s="1">
        <v>3.0793345192099999E-2</v>
      </c>
      <c r="F78" s="1">
        <v>-1.1306034852400001E-2</v>
      </c>
      <c r="G78" s="1">
        <v>1.1434940033799999E-3</v>
      </c>
    </row>
    <row r="79" spans="1:7" x14ac:dyDescent="0.25">
      <c r="A79">
        <v>7.7</v>
      </c>
      <c r="B79">
        <v>1537861.6526599999</v>
      </c>
      <c r="C79">
        <v>-30093762.533199999</v>
      </c>
      <c r="D79">
        <v>-95795.109790100003</v>
      </c>
      <c r="E79" s="1">
        <v>3.07452312826E-2</v>
      </c>
      <c r="F79" s="1">
        <v>-1.0828089084E-2</v>
      </c>
      <c r="G79" s="1">
        <v>1.23110305283E-3</v>
      </c>
    </row>
    <row r="80" spans="1:7" x14ac:dyDescent="0.25">
      <c r="A80">
        <v>7.8</v>
      </c>
      <c r="B80">
        <v>1886679.4832200001</v>
      </c>
      <c r="C80">
        <v>-27067750.916999999</v>
      </c>
      <c r="D80">
        <v>-86215.103694100006</v>
      </c>
      <c r="E80" s="1">
        <v>3.0679460877299999E-2</v>
      </c>
      <c r="F80" s="1">
        <v>-1.03549064593E-2</v>
      </c>
      <c r="G80" s="1">
        <v>1.3344591445599999E-3</v>
      </c>
    </row>
    <row r="81" spans="1:7" x14ac:dyDescent="0.25">
      <c r="A81">
        <v>7.9</v>
      </c>
      <c r="B81">
        <v>2241973.6848399998</v>
      </c>
      <c r="C81">
        <v>-24172979.138</v>
      </c>
      <c r="D81">
        <v>-70080.268173000004</v>
      </c>
      <c r="E81" s="1">
        <v>3.0575158412000002E-2</v>
      </c>
      <c r="F81" s="1">
        <v>-9.8758953564299992E-3</v>
      </c>
      <c r="G81" s="1">
        <v>1.42679045979E-3</v>
      </c>
    </row>
    <row r="82" spans="1:7" x14ac:dyDescent="0.25">
      <c r="A82">
        <v>8</v>
      </c>
      <c r="B82">
        <v>2588067.62365</v>
      </c>
      <c r="C82">
        <v>-21291659.332199998</v>
      </c>
      <c r="D82">
        <v>-82583.128806599998</v>
      </c>
      <c r="E82" s="1">
        <v>3.03918748609E-2</v>
      </c>
      <c r="F82" s="1">
        <v>-9.3579375352500008E-3</v>
      </c>
      <c r="G82" s="1">
        <v>1.51589051355E-3</v>
      </c>
    </row>
    <row r="83" spans="1:7" x14ac:dyDescent="0.25">
      <c r="A83">
        <v>8.1</v>
      </c>
      <c r="B83">
        <v>2752908.6293600001</v>
      </c>
      <c r="C83">
        <v>-18591536.1439</v>
      </c>
      <c r="D83">
        <v>-135362.479567</v>
      </c>
      <c r="E83" s="1">
        <v>3.0197877076599999E-2</v>
      </c>
      <c r="F83" s="1">
        <v>-8.8286743848700003E-3</v>
      </c>
      <c r="G83" s="1">
        <v>1.61069120734E-3</v>
      </c>
    </row>
    <row r="84" spans="1:7" x14ac:dyDescent="0.25">
      <c r="A84">
        <v>8.1999999999999993</v>
      </c>
      <c r="B84">
        <v>3002608.8765400001</v>
      </c>
      <c r="C84">
        <v>-15672563.642100001</v>
      </c>
      <c r="D84">
        <v>-237674.58257500001</v>
      </c>
      <c r="E84" s="1">
        <v>3.0015200471400001E-2</v>
      </c>
      <c r="F84" s="1">
        <v>-8.3137780961000003E-3</v>
      </c>
      <c r="G84" s="1">
        <v>1.7103259448099999E-3</v>
      </c>
    </row>
    <row r="85" spans="1:7" x14ac:dyDescent="0.25">
      <c r="A85">
        <v>8.3000000000000007</v>
      </c>
      <c r="B85">
        <v>3012234.1420900002</v>
      </c>
      <c r="C85">
        <v>-13118196.499500001</v>
      </c>
      <c r="D85">
        <v>-147311.30502</v>
      </c>
      <c r="E85" s="1">
        <v>2.98959439471E-2</v>
      </c>
      <c r="F85" s="1">
        <v>-7.87193035779E-3</v>
      </c>
      <c r="G85" s="1">
        <v>1.86724351338E-3</v>
      </c>
    </row>
    <row r="86" spans="1:7" x14ac:dyDescent="0.25">
      <c r="A86">
        <v>8.4</v>
      </c>
      <c r="B86">
        <v>3078255.1255999999</v>
      </c>
      <c r="C86">
        <v>-10633316.3533</v>
      </c>
      <c r="D86">
        <v>-123198.191786</v>
      </c>
      <c r="E86" s="1">
        <v>2.9805905621500001E-2</v>
      </c>
      <c r="F86" s="1">
        <v>-7.4501681175500002E-3</v>
      </c>
      <c r="G86" s="1">
        <v>1.9869168363000002E-3</v>
      </c>
    </row>
    <row r="87" spans="1:7" x14ac:dyDescent="0.25">
      <c r="A87">
        <v>8.5</v>
      </c>
      <c r="B87">
        <v>2397093.8912999998</v>
      </c>
      <c r="C87">
        <v>-9995070.7106400002</v>
      </c>
      <c r="D87">
        <v>-296826.64696400001</v>
      </c>
      <c r="E87" s="1">
        <v>2.9718955130099999E-2</v>
      </c>
      <c r="F87" s="1">
        <v>-6.9283339900299999E-3</v>
      </c>
      <c r="G87" s="1">
        <v>2.1408430227500001E-3</v>
      </c>
    </row>
    <row r="88" spans="1:7" x14ac:dyDescent="0.25">
      <c r="A88">
        <v>8.6</v>
      </c>
      <c r="B88">
        <v>2556238.50783</v>
      </c>
      <c r="C88">
        <v>-7442084.2329299999</v>
      </c>
      <c r="D88">
        <v>-298452.17758199997</v>
      </c>
      <c r="E88" s="1">
        <v>2.9564065926499999E-2</v>
      </c>
      <c r="F88" s="1">
        <v>-6.4403004017599998E-3</v>
      </c>
      <c r="G88" s="1">
        <v>2.2350838593500001E-3</v>
      </c>
    </row>
    <row r="89" spans="1:7" x14ac:dyDescent="0.25">
      <c r="A89">
        <v>8.6999999999999993</v>
      </c>
      <c r="B89">
        <v>2298146.49285</v>
      </c>
      <c r="C89">
        <v>-5239665.65625</v>
      </c>
      <c r="D89">
        <v>-355754.30438699998</v>
      </c>
      <c r="E89" s="1">
        <v>2.9470070147999999E-2</v>
      </c>
      <c r="F89" s="1">
        <v>-5.9325595213699997E-3</v>
      </c>
      <c r="G89" s="1">
        <v>2.2558593985199998E-3</v>
      </c>
    </row>
    <row r="90" spans="1:7" x14ac:dyDescent="0.25">
      <c r="A90">
        <v>8.8000000000000007</v>
      </c>
      <c r="B90">
        <v>1911973.50449</v>
      </c>
      <c r="C90">
        <v>-3586956.41671</v>
      </c>
      <c r="D90">
        <v>-402734.75437899999</v>
      </c>
      <c r="E90" s="1">
        <v>2.9470895990900001E-2</v>
      </c>
      <c r="F90" s="1">
        <v>-5.4403951313800004E-3</v>
      </c>
      <c r="G90" s="1">
        <v>2.2103792887899999E-3</v>
      </c>
    </row>
    <row r="91" spans="1:7" x14ac:dyDescent="0.25">
      <c r="A91">
        <v>8.9</v>
      </c>
      <c r="B91">
        <v>1783170.8616899999</v>
      </c>
      <c r="C91">
        <v>-2145129.1654400001</v>
      </c>
      <c r="D91">
        <v>-637058.14606399997</v>
      </c>
      <c r="E91" s="1">
        <v>2.9528810554100001E-2</v>
      </c>
      <c r="F91" s="1">
        <v>-4.9858511831800002E-3</v>
      </c>
      <c r="G91" s="1">
        <v>2.1465858127000001E-3</v>
      </c>
    </row>
    <row r="92" spans="1:7" x14ac:dyDescent="0.25">
      <c r="A92">
        <v>9</v>
      </c>
      <c r="B92">
        <v>1665495.06317</v>
      </c>
      <c r="C92">
        <v>-892212.16175900004</v>
      </c>
      <c r="D92">
        <v>-762382.78392900003</v>
      </c>
      <c r="E92" s="1">
        <v>2.9522070839900001E-2</v>
      </c>
      <c r="F92" s="1">
        <v>-4.5342407237199999E-3</v>
      </c>
      <c r="G92" s="1">
        <v>2.0920204569400002E-3</v>
      </c>
    </row>
    <row r="93" spans="1:7" x14ac:dyDescent="0.25">
      <c r="A93">
        <v>9.1</v>
      </c>
      <c r="B93">
        <v>1639970.5614199999</v>
      </c>
      <c r="C93">
        <v>542015.73755399999</v>
      </c>
      <c r="D93">
        <v>-934409.16035699996</v>
      </c>
      <c r="E93" s="1">
        <v>2.9535163287799999E-2</v>
      </c>
      <c r="F93" s="1">
        <v>-4.0837746705199999E-3</v>
      </c>
      <c r="G93" s="1">
        <v>2.0489276581700001E-3</v>
      </c>
    </row>
    <row r="94" spans="1:7" x14ac:dyDescent="0.25">
      <c r="A94">
        <v>9.1999999999999993</v>
      </c>
      <c r="B94">
        <v>1694253.2261600001</v>
      </c>
      <c r="C94">
        <v>2398832.8235200001</v>
      </c>
      <c r="D94">
        <v>-1065273.39637</v>
      </c>
      <c r="E94" s="1">
        <v>2.9498861105899998E-2</v>
      </c>
      <c r="F94" s="1">
        <v>-3.62929738599E-3</v>
      </c>
      <c r="G94" s="1">
        <v>2.0546801094E-3</v>
      </c>
    </row>
    <row r="95" spans="1:7" x14ac:dyDescent="0.25">
      <c r="A95">
        <v>9.3000000000000007</v>
      </c>
      <c r="B95">
        <v>1878824.8033100001</v>
      </c>
      <c r="C95">
        <v>4338776.1520699998</v>
      </c>
      <c r="D95">
        <v>-1212380.1466900001</v>
      </c>
      <c r="E95" s="1">
        <v>2.9483652853799999E-2</v>
      </c>
      <c r="F95" s="1">
        <v>-3.18889023224E-3</v>
      </c>
      <c r="G95" s="1">
        <v>2.0618858084999999E-3</v>
      </c>
    </row>
    <row r="96" spans="1:7" x14ac:dyDescent="0.25">
      <c r="A96">
        <v>9.4</v>
      </c>
      <c r="B96">
        <v>1916759.4892599999</v>
      </c>
      <c r="C96">
        <v>6129430.2737699999</v>
      </c>
      <c r="D96">
        <v>-1329517.21165</v>
      </c>
      <c r="E96" s="1">
        <v>2.9377373995100001E-2</v>
      </c>
      <c r="F96" s="1">
        <v>-2.72112270575E-3</v>
      </c>
      <c r="G96" s="1">
        <v>2.0788121423200002E-3</v>
      </c>
    </row>
    <row r="97" spans="1:7" x14ac:dyDescent="0.25">
      <c r="A97">
        <v>9.5</v>
      </c>
      <c r="B97">
        <v>1624791.42078</v>
      </c>
      <c r="C97">
        <v>5783281.3696999997</v>
      </c>
      <c r="D97">
        <v>-1431842.1273099999</v>
      </c>
      <c r="E97" s="1">
        <v>2.9098708887400002E-2</v>
      </c>
      <c r="F97" s="1">
        <v>-2.2301235826299999E-3</v>
      </c>
      <c r="G97" s="1">
        <v>2.1464469180400001E-3</v>
      </c>
    </row>
    <row r="98" spans="1:7" x14ac:dyDescent="0.25">
      <c r="A98">
        <v>9.6</v>
      </c>
      <c r="B98">
        <v>1495301.8518300001</v>
      </c>
      <c r="C98">
        <v>6296613.1605000002</v>
      </c>
      <c r="D98">
        <v>-1093616.2547899999</v>
      </c>
      <c r="E98" s="1">
        <v>2.8888494449300001E-2</v>
      </c>
      <c r="F98" s="1">
        <v>-1.7816833206500001E-3</v>
      </c>
      <c r="G98" s="1">
        <v>2.1356809175999999E-3</v>
      </c>
    </row>
    <row r="99" spans="1:7" x14ac:dyDescent="0.25">
      <c r="A99">
        <v>9.6999999999999993</v>
      </c>
      <c r="B99">
        <v>1647824.8923599999</v>
      </c>
      <c r="C99">
        <v>7475109.83452</v>
      </c>
      <c r="D99">
        <v>-1141852.0176500001</v>
      </c>
      <c r="E99" s="1">
        <v>2.8747886828600001E-2</v>
      </c>
      <c r="F99" s="1">
        <v>-1.3178303839400001E-3</v>
      </c>
      <c r="G99" s="1">
        <v>2.1160464416100002E-3</v>
      </c>
    </row>
    <row r="100" spans="1:7" x14ac:dyDescent="0.25">
      <c r="A100">
        <v>9.8000000000000007</v>
      </c>
      <c r="B100">
        <v>1607689.4137599999</v>
      </c>
      <c r="C100">
        <v>8249516.31207</v>
      </c>
      <c r="D100">
        <v>-1419243.96863</v>
      </c>
      <c r="E100" s="1">
        <v>2.8578745292E-2</v>
      </c>
      <c r="F100" s="1">
        <v>-8.3259260151300005E-4</v>
      </c>
      <c r="G100" s="1">
        <v>2.0925997500700001E-3</v>
      </c>
    </row>
    <row r="101" spans="1:7" x14ac:dyDescent="0.25">
      <c r="A101">
        <v>9.9</v>
      </c>
      <c r="B101">
        <v>1625006.9322500001</v>
      </c>
      <c r="C101">
        <v>9434688.4039600007</v>
      </c>
      <c r="D101">
        <v>-1549246.2017399999</v>
      </c>
      <c r="E101" s="1">
        <v>2.8468810629500001E-2</v>
      </c>
      <c r="F101" s="1">
        <v>-3.3871539533499999E-4</v>
      </c>
      <c r="G101" s="1">
        <v>2.1529266097200001E-3</v>
      </c>
    </row>
    <row r="102" spans="1:7" x14ac:dyDescent="0.25">
      <c r="A102">
        <v>10</v>
      </c>
      <c r="B102">
        <v>1715454.76422</v>
      </c>
      <c r="C102">
        <v>10828242.2333</v>
      </c>
      <c r="D102">
        <v>-1617115.78568</v>
      </c>
      <c r="E102" s="1">
        <v>2.8363974022099999E-2</v>
      </c>
      <c r="F102" s="1">
        <v>1.6235441592399999E-4</v>
      </c>
      <c r="G102" s="1">
        <v>2.1866781976199999E-3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44"/>
  <sheetViews>
    <sheetView topLeftCell="A10" workbookViewId="0">
      <selection activeCell="C44" sqref="C44"/>
    </sheetView>
  </sheetViews>
  <sheetFormatPr defaultRowHeight="15" x14ac:dyDescent="0.25"/>
  <cols>
    <col min="3" max="3" width="12" bestFit="1" customWidth="1"/>
    <col min="4" max="4" width="9.28515625" customWidth="1"/>
  </cols>
  <sheetData>
    <row r="1" spans="1:6" x14ac:dyDescent="0.25">
      <c r="A1" t="s">
        <v>10</v>
      </c>
      <c r="B1" t="s">
        <v>8</v>
      </c>
      <c r="C1" t="s">
        <v>26</v>
      </c>
      <c r="D1" t="s">
        <v>9</v>
      </c>
      <c r="E1" t="s">
        <v>11</v>
      </c>
    </row>
    <row r="2" spans="1:6" x14ac:dyDescent="0.25">
      <c r="A2">
        <v>0</v>
      </c>
      <c r="B2" s="1">
        <f>F2</f>
        <v>40000000</v>
      </c>
      <c r="C2" s="1">
        <v>4.9000000000000002E-2</v>
      </c>
      <c r="D2" s="1">
        <f>A2/(B2/12000000000+A2)*C2</f>
        <v>0</v>
      </c>
      <c r="E2" s="1">
        <f>A2-D2/(1-D2)*B2/12000000000</f>
        <v>0</v>
      </c>
      <c r="F2" s="1">
        <f>$C$43*(A2)+$C$44</f>
        <v>40000000</v>
      </c>
    </row>
    <row r="3" spans="1:6" x14ac:dyDescent="0.25">
      <c r="A3">
        <v>1E-3</v>
      </c>
      <c r="B3" s="1">
        <f t="shared" ref="B3:B10" si="0">F3</f>
        <v>60000000</v>
      </c>
      <c r="C3" s="1">
        <v>1.0489999999999999</v>
      </c>
      <c r="D3" s="1">
        <f t="shared" ref="D3:D10" si="1">A3/(B3/12000000000+A3)*C3</f>
        <v>0.17483333333333331</v>
      </c>
      <c r="E3" s="1">
        <f t="shared" ref="E3:E10" si="2">A3-D3/(1-D3)*B3/12000000000</f>
        <v>-5.9381943041809417E-5</v>
      </c>
      <c r="F3" s="1">
        <f t="shared" ref="F3:F10" si="3">$C$43*(A3)+$C$44</f>
        <v>60000000</v>
      </c>
    </row>
    <row r="4" spans="1:6" x14ac:dyDescent="0.25">
      <c r="A4">
        <v>2E-3</v>
      </c>
      <c r="B4" s="1">
        <f t="shared" si="0"/>
        <v>80000000</v>
      </c>
      <c r="C4" s="1">
        <v>2.0489999999999999</v>
      </c>
      <c r="D4" s="1">
        <f t="shared" si="1"/>
        <v>0.47284615384615386</v>
      </c>
      <c r="E4" s="1">
        <f t="shared" si="2"/>
        <v>-3.9798628337954179E-3</v>
      </c>
      <c r="F4" s="1">
        <f t="shared" si="3"/>
        <v>80000000</v>
      </c>
    </row>
    <row r="5" spans="1:6" x14ac:dyDescent="0.25">
      <c r="A5">
        <v>3.0000000000000001E-3</v>
      </c>
      <c r="B5" s="1">
        <f t="shared" si="0"/>
        <v>100000000</v>
      </c>
      <c r="C5" s="1">
        <v>3.0489999999999999</v>
      </c>
      <c r="D5" s="1">
        <f t="shared" si="1"/>
        <v>0.80708823529411766</v>
      </c>
      <c r="E5" s="1">
        <f t="shared" si="2"/>
        <v>-3.1864308583625552E-2</v>
      </c>
      <c r="F5" s="1">
        <f t="shared" si="3"/>
        <v>100000000</v>
      </c>
    </row>
    <row r="6" spans="1:6" x14ac:dyDescent="0.25">
      <c r="A6">
        <v>4.0000000000000001E-3</v>
      </c>
      <c r="B6" s="1">
        <f t="shared" si="0"/>
        <v>120000000</v>
      </c>
      <c r="C6" s="1">
        <v>4.0490000000000004</v>
      </c>
      <c r="D6" s="1">
        <f t="shared" si="1"/>
        <v>1.1568571428571428</v>
      </c>
      <c r="E6" s="1">
        <f t="shared" si="2"/>
        <v>7.7752276867030998E-2</v>
      </c>
      <c r="F6" s="1">
        <f t="shared" si="3"/>
        <v>120000000</v>
      </c>
    </row>
    <row r="7" spans="1:6" x14ac:dyDescent="0.25">
      <c r="A7">
        <v>5.0000000000000001E-3</v>
      </c>
      <c r="B7" s="1">
        <f t="shared" si="0"/>
        <v>140000000</v>
      </c>
      <c r="C7" s="1">
        <v>5.0490000000000004</v>
      </c>
      <c r="D7" s="1">
        <f t="shared" si="1"/>
        <v>1.5147000000000002</v>
      </c>
      <c r="E7" s="1">
        <f t="shared" si="2"/>
        <v>3.9333592383912951E-2</v>
      </c>
      <c r="F7" s="1">
        <f t="shared" si="3"/>
        <v>140000000</v>
      </c>
    </row>
    <row r="8" spans="1:6" x14ac:dyDescent="0.25">
      <c r="A8">
        <v>6.0000000000000001E-3</v>
      </c>
      <c r="B8" s="1">
        <f t="shared" si="0"/>
        <v>160000000</v>
      </c>
      <c r="C8" s="1">
        <v>6.0490000000000004</v>
      </c>
      <c r="D8" s="1">
        <f t="shared" si="1"/>
        <v>1.8772758620689658</v>
      </c>
      <c r="E8" s="1">
        <f t="shared" si="2"/>
        <v>3.4531897331079746E-2</v>
      </c>
      <c r="F8" s="1">
        <f t="shared" si="3"/>
        <v>160000000</v>
      </c>
    </row>
    <row r="9" spans="1:6" x14ac:dyDescent="0.25">
      <c r="A9">
        <v>7.0000000000000001E-3</v>
      </c>
      <c r="B9" s="1">
        <f t="shared" si="0"/>
        <v>180000000</v>
      </c>
      <c r="C9" s="1">
        <v>7.0490000000000004</v>
      </c>
      <c r="D9" s="1">
        <f t="shared" si="1"/>
        <v>2.2428636363636367</v>
      </c>
      <c r="E9" s="1">
        <f t="shared" si="2"/>
        <v>3.406890246132465E-2</v>
      </c>
      <c r="F9" s="1">
        <f t="shared" si="3"/>
        <v>180000000</v>
      </c>
    </row>
    <row r="10" spans="1:6" x14ac:dyDescent="0.25">
      <c r="A10">
        <v>8.0000000000000002E-3</v>
      </c>
      <c r="B10" s="1">
        <f t="shared" si="0"/>
        <v>200000000</v>
      </c>
      <c r="C10" s="1">
        <v>8.0489999999999995</v>
      </c>
      <c r="D10" s="1">
        <f t="shared" si="1"/>
        <v>2.6104864864864865</v>
      </c>
      <c r="E10" s="1">
        <f t="shared" si="2"/>
        <v>3.5015506477814332E-2</v>
      </c>
      <c r="F10" s="1">
        <f t="shared" si="3"/>
        <v>200000000</v>
      </c>
    </row>
    <row r="11" spans="1:6" x14ac:dyDescent="0.25">
      <c r="A11">
        <v>8.9999999999999993E-3</v>
      </c>
      <c r="B11" s="1">
        <f t="shared" ref="B11:B12" si="4">F11</f>
        <v>220000000</v>
      </c>
      <c r="C11" s="1">
        <v>9.0489999999999995</v>
      </c>
      <c r="D11" s="1">
        <f>A11/(B11/12000000000+A11)*C11</f>
        <v>2.9795487804878045</v>
      </c>
      <c r="E11" s="1">
        <f>A11-D11/(1-D11)*B11/12000000000</f>
        <v>3.6594703153588828E-2</v>
      </c>
      <c r="F11" s="1">
        <f>$C$43*(A11)+$C$44</f>
        <v>220000000</v>
      </c>
    </row>
    <row r="12" spans="1:6" x14ac:dyDescent="0.25">
      <c r="A12">
        <v>0.01</v>
      </c>
      <c r="B12" s="1">
        <f t="shared" si="4"/>
        <v>240000000</v>
      </c>
      <c r="C12" s="1">
        <v>10.048999999999999</v>
      </c>
      <c r="D12" s="1">
        <f t="shared" ref="D12" si="5">A12/(B12/12000000000+A12)*C12</f>
        <v>3.3496666666666668</v>
      </c>
      <c r="E12" s="1">
        <f t="shared" ref="E12" si="6">A12-D12/(1-D12)*B12/12000000000</f>
        <v>3.8511845651865509E-2</v>
      </c>
      <c r="F12" s="1">
        <f t="shared" ref="F12" si="7">$C$43*(A12)+$C$44</f>
        <v>240000000</v>
      </c>
    </row>
    <row r="36" spans="2:3" x14ac:dyDescent="0.25">
      <c r="B36" t="s">
        <v>29</v>
      </c>
      <c r="C36" s="1">
        <f>-2000000000000</f>
        <v>-2000000000000</v>
      </c>
    </row>
    <row r="37" spans="2:3" x14ac:dyDescent="0.25">
      <c r="B37" t="s">
        <v>30</v>
      </c>
      <c r="C37" s="1">
        <f>30000000000</f>
        <v>30000000000</v>
      </c>
    </row>
    <row r="38" spans="2:3" x14ac:dyDescent="0.25">
      <c r="B38" t="s">
        <v>31</v>
      </c>
      <c r="C38" s="1">
        <f>20000000</f>
        <v>20000000</v>
      </c>
    </row>
    <row r="40" spans="2:3" x14ac:dyDescent="0.25">
      <c r="B40" t="s">
        <v>43</v>
      </c>
      <c r="C40" s="1">
        <f>-C37/2/C36</f>
        <v>7.4999999999999997E-3</v>
      </c>
    </row>
    <row r="41" spans="2:3" x14ac:dyDescent="0.25">
      <c r="B41" t="s">
        <v>44</v>
      </c>
      <c r="C41" s="1">
        <f>C38-C37^2/4/C36</f>
        <v>132500000</v>
      </c>
    </row>
    <row r="43" spans="2:3" x14ac:dyDescent="0.25">
      <c r="B43" t="s">
        <v>29</v>
      </c>
      <c r="C43" s="1">
        <v>20000000000</v>
      </c>
    </row>
    <row r="44" spans="2:3" x14ac:dyDescent="0.25">
      <c r="B44" t="s">
        <v>30</v>
      </c>
      <c r="C44" s="1">
        <v>40000000</v>
      </c>
    </row>
  </sheetData>
  <pageMargins left="0.7" right="0.7" top="0.75" bottom="0.75" header="0.3" footer="0.3"/>
  <pageSetup orientation="portrait" horizontalDpi="4294967293" verticalDpi="4294967293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109"/>
  <sheetViews>
    <sheetView workbookViewId="0">
      <selection sqref="A1:B1048576"/>
    </sheetView>
  </sheetViews>
  <sheetFormatPr defaultRowHeight="15" x14ac:dyDescent="0.25"/>
  <sheetData>
    <row r="1" spans="1:14" x14ac:dyDescent="0.25">
      <c r="A1" t="s">
        <v>12</v>
      </c>
      <c r="B1" t="s">
        <v>13</v>
      </c>
      <c r="C1" t="s">
        <v>14</v>
      </c>
      <c r="D1" t="s">
        <v>15</v>
      </c>
      <c r="E1" t="s">
        <v>16</v>
      </c>
      <c r="F1" t="s">
        <v>17</v>
      </c>
      <c r="G1" t="s">
        <v>18</v>
      </c>
      <c r="H1" t="s">
        <v>19</v>
      </c>
      <c r="I1" t="s">
        <v>20</v>
      </c>
      <c r="J1" t="s">
        <v>21</v>
      </c>
      <c r="K1" t="s">
        <v>22</v>
      </c>
      <c r="L1" t="s">
        <v>23</v>
      </c>
      <c r="M1" t="s">
        <v>24</v>
      </c>
      <c r="N1" t="s">
        <v>25</v>
      </c>
    </row>
    <row r="2" spans="1:14" x14ac:dyDescent="0.25">
      <c r="A2">
        <v>1</v>
      </c>
      <c r="B2" s="1">
        <v>1.78658E+16</v>
      </c>
      <c r="C2" s="1">
        <v>12000000000</v>
      </c>
      <c r="D2" s="1">
        <v>0.42399999999999999</v>
      </c>
      <c r="E2" s="1">
        <v>12400000</v>
      </c>
      <c r="F2" s="1">
        <v>11500000</v>
      </c>
      <c r="G2" s="1">
        <v>58300000</v>
      </c>
      <c r="H2" s="1">
        <v>3800000</v>
      </c>
      <c r="I2" s="1">
        <v>2970000</v>
      </c>
      <c r="J2" s="1">
        <v>6000000</v>
      </c>
      <c r="K2" s="1">
        <v>3.3E-3</v>
      </c>
      <c r="L2" s="1">
        <v>1E-3</v>
      </c>
      <c r="M2" s="1">
        <v>0.43</v>
      </c>
      <c r="N2" s="1">
        <v>0.98699999999999999</v>
      </c>
    </row>
    <row r="3" spans="1:14" x14ac:dyDescent="0.25">
      <c r="A3">
        <v>2</v>
      </c>
      <c r="B3" s="1">
        <v>1.827822E+16</v>
      </c>
      <c r="C3" s="1">
        <v>12150000000</v>
      </c>
      <c r="D3" s="1">
        <v>0.42399999999999999</v>
      </c>
      <c r="E3" s="1">
        <v>12400000</v>
      </c>
      <c r="F3" s="1">
        <v>11500000</v>
      </c>
      <c r="G3" s="1">
        <v>58300000</v>
      </c>
      <c r="H3" s="1">
        <v>3800000</v>
      </c>
      <c r="I3" s="1">
        <v>2970000</v>
      </c>
      <c r="J3" s="1">
        <v>6000000</v>
      </c>
      <c r="K3" s="1">
        <v>3.3E-3</v>
      </c>
      <c r="L3" s="1">
        <v>1E-3</v>
      </c>
      <c r="M3" s="1">
        <v>0.43</v>
      </c>
      <c r="N3" s="1">
        <v>0.98699999999999999</v>
      </c>
    </row>
    <row r="4" spans="1:14" x14ac:dyDescent="0.25">
      <c r="A4">
        <v>3</v>
      </c>
      <c r="B4" s="1">
        <v>1.744262E+16</v>
      </c>
      <c r="C4" s="1">
        <v>12000000000</v>
      </c>
      <c r="D4" s="1">
        <v>0.42799999999999999</v>
      </c>
      <c r="E4" s="1">
        <v>12400000</v>
      </c>
      <c r="F4" s="1">
        <v>11500000</v>
      </c>
      <c r="G4" s="1">
        <v>58300000</v>
      </c>
      <c r="H4" s="1">
        <v>10000000</v>
      </c>
      <c r="I4" s="1">
        <v>2970000</v>
      </c>
      <c r="J4" s="1">
        <v>6000000</v>
      </c>
      <c r="K4" s="1">
        <v>3.3E-3</v>
      </c>
      <c r="L4" s="1">
        <v>1E-3</v>
      </c>
      <c r="M4" s="1">
        <v>0.43</v>
      </c>
      <c r="N4" s="1">
        <v>0.98699999999999999</v>
      </c>
    </row>
    <row r="5" spans="1:14" x14ac:dyDescent="0.25">
      <c r="A5">
        <v>4</v>
      </c>
      <c r="B5" s="1">
        <v>1.736495E+16</v>
      </c>
      <c r="C5" s="1">
        <v>12000000000</v>
      </c>
      <c r="D5" s="1">
        <v>0.42399999999999999</v>
      </c>
      <c r="E5" s="1">
        <v>13300000</v>
      </c>
      <c r="F5" s="1">
        <v>11500000</v>
      </c>
      <c r="G5" s="1">
        <v>58300000</v>
      </c>
      <c r="H5" s="1">
        <v>10000000</v>
      </c>
      <c r="I5" s="1">
        <v>2970000</v>
      </c>
      <c r="J5" s="1">
        <v>6000000</v>
      </c>
      <c r="K5" s="1">
        <v>3.3E-3</v>
      </c>
      <c r="L5" s="1">
        <v>1E-3</v>
      </c>
      <c r="M5" s="1">
        <v>0.43</v>
      </c>
      <c r="N5" s="1">
        <v>0.98699999999999999</v>
      </c>
    </row>
    <row r="6" spans="1:14" x14ac:dyDescent="0.25">
      <c r="A6">
        <v>5</v>
      </c>
      <c r="B6" s="1">
        <v>1.661325E+16</v>
      </c>
      <c r="C6" s="1">
        <v>12000000000</v>
      </c>
      <c r="D6" s="1">
        <v>0.42399999999999999</v>
      </c>
      <c r="E6" s="1">
        <v>12400000</v>
      </c>
      <c r="F6" s="1">
        <v>12400000</v>
      </c>
      <c r="G6" s="1">
        <v>58300000</v>
      </c>
      <c r="H6" s="1">
        <v>10000000</v>
      </c>
      <c r="I6" s="1">
        <v>2970000</v>
      </c>
      <c r="J6" s="1">
        <v>6000000</v>
      </c>
      <c r="K6" s="1">
        <v>3.3E-3</v>
      </c>
      <c r="L6" s="1">
        <v>1E-3</v>
      </c>
      <c r="M6" s="1">
        <v>0.43</v>
      </c>
      <c r="N6" s="1">
        <v>0.98699999999999999</v>
      </c>
    </row>
    <row r="7" spans="1:14" x14ac:dyDescent="0.25">
      <c r="A7">
        <v>6</v>
      </c>
      <c r="B7" s="1">
        <v>1.671209E+16</v>
      </c>
      <c r="C7" s="1">
        <v>12000000000</v>
      </c>
      <c r="D7" s="1">
        <v>0.42399999999999999</v>
      </c>
      <c r="E7" s="1">
        <v>12400000</v>
      </c>
      <c r="F7" s="1">
        <v>11500000</v>
      </c>
      <c r="G7" s="1">
        <v>59200000</v>
      </c>
      <c r="H7" s="1">
        <v>10000000</v>
      </c>
      <c r="I7" s="1">
        <v>2970000</v>
      </c>
      <c r="J7" s="1">
        <v>6000000</v>
      </c>
      <c r="K7" s="1">
        <v>3.3E-3</v>
      </c>
      <c r="L7" s="1">
        <v>1E-3</v>
      </c>
      <c r="M7" s="1">
        <v>0.43</v>
      </c>
      <c r="N7" s="1">
        <v>0.98699999999999999</v>
      </c>
    </row>
    <row r="8" spans="1:14" x14ac:dyDescent="0.25">
      <c r="A8">
        <v>7</v>
      </c>
      <c r="B8" s="1">
        <v>1.695482E+16</v>
      </c>
      <c r="C8" s="1">
        <v>12000000000</v>
      </c>
      <c r="D8" s="1">
        <v>0.42399999999999999</v>
      </c>
      <c r="E8" s="1">
        <v>12400000</v>
      </c>
      <c r="F8" s="1">
        <v>11500000</v>
      </c>
      <c r="G8" s="1">
        <v>58300000</v>
      </c>
      <c r="H8" s="1">
        <v>10900000</v>
      </c>
      <c r="I8" s="1">
        <v>2970000</v>
      </c>
      <c r="J8" s="1">
        <v>6000000</v>
      </c>
      <c r="K8" s="1">
        <v>3.3E-3</v>
      </c>
      <c r="L8" s="1">
        <v>1E-3</v>
      </c>
      <c r="M8" s="1">
        <v>0.43</v>
      </c>
      <c r="N8" s="1">
        <v>0.98699999999999999</v>
      </c>
    </row>
    <row r="9" spans="1:14" x14ac:dyDescent="0.25">
      <c r="A9">
        <v>8</v>
      </c>
      <c r="B9" s="1">
        <v>1.76068E+16</v>
      </c>
      <c r="C9" s="1">
        <v>12000000000</v>
      </c>
      <c r="D9" s="1">
        <v>0.42399999999999999</v>
      </c>
      <c r="E9" s="1">
        <v>12400000</v>
      </c>
      <c r="F9" s="1">
        <v>11500000</v>
      </c>
      <c r="G9" s="1">
        <v>58300000</v>
      </c>
      <c r="H9" s="1">
        <v>10000000</v>
      </c>
      <c r="I9" s="1">
        <v>3060000</v>
      </c>
      <c r="J9" s="1">
        <v>6000000</v>
      </c>
      <c r="K9" s="1">
        <v>3.3E-3</v>
      </c>
      <c r="L9" s="1">
        <v>1E-3</v>
      </c>
      <c r="M9" s="1">
        <v>0.43</v>
      </c>
      <c r="N9" s="1">
        <v>0.98699999999999999</v>
      </c>
    </row>
    <row r="10" spans="1:14" x14ac:dyDescent="0.25">
      <c r="A10">
        <v>9</v>
      </c>
      <c r="B10" s="1">
        <v>1.757798E+16</v>
      </c>
      <c r="C10" s="1">
        <v>12000000000</v>
      </c>
      <c r="D10" s="1">
        <v>0.42399999999999999</v>
      </c>
      <c r="E10" s="1">
        <v>12400000</v>
      </c>
      <c r="F10" s="1">
        <v>11500000</v>
      </c>
      <c r="G10" s="1">
        <v>58300000</v>
      </c>
      <c r="H10" s="1">
        <v>10000000</v>
      </c>
      <c r="I10" s="1">
        <v>2970000</v>
      </c>
      <c r="J10" s="1">
        <v>6090000</v>
      </c>
      <c r="K10" s="1">
        <v>3.3E-3</v>
      </c>
      <c r="L10" s="1">
        <v>1E-3</v>
      </c>
      <c r="M10" s="1">
        <v>0.43</v>
      </c>
      <c r="N10" s="1">
        <v>0.98699999999999999</v>
      </c>
    </row>
    <row r="11" spans="1:14" x14ac:dyDescent="0.25">
      <c r="A11">
        <v>10</v>
      </c>
      <c r="B11" s="1">
        <v>1.71213E+16</v>
      </c>
      <c r="C11" s="1">
        <v>12000000000</v>
      </c>
      <c r="D11" s="1">
        <v>0.42399999999999999</v>
      </c>
      <c r="E11" s="1">
        <v>12400000</v>
      </c>
      <c r="F11" s="1">
        <v>11500000</v>
      </c>
      <c r="G11" s="1">
        <v>58300000</v>
      </c>
      <c r="H11" s="1">
        <v>10000000</v>
      </c>
      <c r="I11" s="1">
        <v>2970000</v>
      </c>
      <c r="J11" s="1">
        <v>6000000</v>
      </c>
      <c r="K11" s="1">
        <v>3.3999999999999998E-3</v>
      </c>
      <c r="L11" s="1">
        <v>1E-3</v>
      </c>
      <c r="M11" s="1">
        <v>0.43</v>
      </c>
      <c r="N11" s="1">
        <v>0.98699999999999999</v>
      </c>
    </row>
    <row r="12" spans="1:14" x14ac:dyDescent="0.25">
      <c r="A12">
        <v>11</v>
      </c>
      <c r="B12" s="1">
        <v>1.757697E+16</v>
      </c>
      <c r="C12" s="1">
        <v>12000000000</v>
      </c>
      <c r="D12" s="1">
        <v>0.42399999999999999</v>
      </c>
      <c r="E12" s="1">
        <v>12400000</v>
      </c>
      <c r="F12" s="1">
        <v>11500000</v>
      </c>
      <c r="G12" s="1">
        <v>58300000</v>
      </c>
      <c r="H12" s="1">
        <v>10000000</v>
      </c>
      <c r="I12" s="1">
        <v>2970000</v>
      </c>
      <c r="J12" s="1">
        <v>6000000</v>
      </c>
      <c r="K12" s="1">
        <v>3.3E-3</v>
      </c>
      <c r="L12" s="1">
        <v>1.1000000000000001E-3</v>
      </c>
      <c r="M12" s="1">
        <v>0.43</v>
      </c>
      <c r="N12" s="1">
        <v>0.98699999999999999</v>
      </c>
    </row>
    <row r="13" spans="1:14" x14ac:dyDescent="0.25">
      <c r="A13">
        <v>12</v>
      </c>
      <c r="B13" s="1">
        <v>1.692318E+16</v>
      </c>
      <c r="C13" s="1">
        <v>12000000000</v>
      </c>
      <c r="D13" s="1">
        <v>0.42399999999999999</v>
      </c>
      <c r="E13" s="1">
        <v>12400000</v>
      </c>
      <c r="F13" s="1">
        <v>11500000</v>
      </c>
      <c r="G13" s="1">
        <v>58300000</v>
      </c>
      <c r="H13" s="1">
        <v>10000000</v>
      </c>
      <c r="I13" s="1">
        <v>2970000</v>
      </c>
      <c r="J13" s="1">
        <v>6000000</v>
      </c>
      <c r="K13" s="1">
        <v>3.3E-3</v>
      </c>
      <c r="L13" s="1">
        <v>1E-3</v>
      </c>
      <c r="M13" s="1">
        <v>0.43990000000000001</v>
      </c>
      <c r="N13" s="1">
        <v>0.98699999999999999</v>
      </c>
    </row>
    <row r="14" spans="1:14" x14ac:dyDescent="0.25">
      <c r="A14">
        <v>13</v>
      </c>
      <c r="B14" s="1">
        <v>1.692318E+16</v>
      </c>
      <c r="C14" s="1">
        <v>12000000000</v>
      </c>
      <c r="D14" s="1">
        <v>0.42399999999999999</v>
      </c>
      <c r="E14" s="1">
        <v>12400000</v>
      </c>
      <c r="F14" s="1">
        <v>11500000</v>
      </c>
      <c r="G14" s="1">
        <v>58300000</v>
      </c>
      <c r="H14" s="1">
        <v>10000000</v>
      </c>
      <c r="I14" s="1">
        <v>2970000</v>
      </c>
      <c r="J14" s="1">
        <v>6000000</v>
      </c>
      <c r="K14" s="1">
        <v>3.3E-3</v>
      </c>
      <c r="L14" s="1">
        <v>1E-3</v>
      </c>
      <c r="M14" s="1">
        <v>0.43</v>
      </c>
      <c r="N14" s="1">
        <v>0.97709999999999997</v>
      </c>
    </row>
    <row r="15" spans="1:14" x14ac:dyDescent="0.25">
      <c r="A15">
        <v>14</v>
      </c>
      <c r="B15" s="1">
        <v>1.692318E+16</v>
      </c>
      <c r="C15" s="1">
        <v>12034390000</v>
      </c>
      <c r="D15" s="1">
        <v>0.46400000000000002</v>
      </c>
      <c r="E15" s="1">
        <v>11200000</v>
      </c>
      <c r="F15" s="1">
        <v>13295690</v>
      </c>
      <c r="G15" s="1">
        <v>59199880</v>
      </c>
      <c r="H15" s="1">
        <v>10000000</v>
      </c>
      <c r="I15" s="1">
        <v>2358565</v>
      </c>
      <c r="J15" s="1">
        <v>5815533</v>
      </c>
      <c r="K15" s="1">
        <v>3.2891069999999999E-3</v>
      </c>
      <c r="L15" s="1">
        <v>9.7175820000000004E-4</v>
      </c>
      <c r="M15" s="1">
        <v>0.42951270000000003</v>
      </c>
      <c r="N15" s="1">
        <v>0.98699999999999999</v>
      </c>
    </row>
    <row r="16" spans="1:14" x14ac:dyDescent="0.25">
      <c r="A16">
        <v>15</v>
      </c>
      <c r="B16" s="1">
        <v>1.692318E+16</v>
      </c>
      <c r="C16" s="1">
        <v>12034620000</v>
      </c>
      <c r="D16" s="1">
        <v>0.46400000000000002</v>
      </c>
      <c r="E16" s="1">
        <v>11200000</v>
      </c>
      <c r="F16" s="1">
        <v>13283430</v>
      </c>
      <c r="G16" s="1">
        <v>59207800</v>
      </c>
      <c r="H16" s="1">
        <v>10000000</v>
      </c>
      <c r="I16" s="1">
        <v>2361859</v>
      </c>
      <c r="J16" s="1">
        <v>5816514</v>
      </c>
      <c r="K16" s="1">
        <v>3.2892339999999998E-3</v>
      </c>
      <c r="L16" s="1">
        <v>9.7199370000000001E-4</v>
      </c>
      <c r="M16" s="1">
        <v>0.42951620000000001</v>
      </c>
      <c r="N16" s="1">
        <v>0.98699999999999999</v>
      </c>
    </row>
    <row r="17" spans="1:14" x14ac:dyDescent="0.25">
      <c r="A17">
        <v>16</v>
      </c>
      <c r="B17" s="1">
        <v>1.692318E+16</v>
      </c>
      <c r="C17" s="1">
        <v>12034200000</v>
      </c>
      <c r="D17" s="1">
        <v>0.46400000000000002</v>
      </c>
      <c r="E17" s="1">
        <v>11200000</v>
      </c>
      <c r="F17" s="1">
        <v>13307670</v>
      </c>
      <c r="G17" s="1">
        <v>59191280</v>
      </c>
      <c r="H17" s="1">
        <v>10000000</v>
      </c>
      <c r="I17" s="1">
        <v>2355018</v>
      </c>
      <c r="J17" s="1">
        <v>5814480</v>
      </c>
      <c r="K17" s="1">
        <v>3.2889709999999999E-3</v>
      </c>
      <c r="L17" s="1">
        <v>9.715034E-4</v>
      </c>
      <c r="M17" s="1">
        <v>0.42950890000000003</v>
      </c>
      <c r="N17" s="1">
        <v>0.98699999999999999</v>
      </c>
    </row>
    <row r="18" spans="1:14" x14ac:dyDescent="0.25">
      <c r="A18">
        <v>17</v>
      </c>
      <c r="B18" s="1">
        <v>1.692318E+16</v>
      </c>
      <c r="C18" s="1">
        <v>12068010000</v>
      </c>
      <c r="D18" s="1">
        <v>0.48199999999999998</v>
      </c>
      <c r="E18" s="1">
        <v>10600000</v>
      </c>
      <c r="F18" s="1">
        <v>14978140</v>
      </c>
      <c r="G18" s="1">
        <v>60083560</v>
      </c>
      <c r="H18" s="1">
        <v>10000000</v>
      </c>
      <c r="I18" s="1">
        <v>1782782</v>
      </c>
      <c r="J18" s="1">
        <v>5641786</v>
      </c>
      <c r="K18" s="1">
        <v>3.2790430000000001E-3</v>
      </c>
      <c r="L18" s="1">
        <v>9.4539929999999997E-4</v>
      </c>
      <c r="M18" s="1">
        <v>0.42903609999999998</v>
      </c>
      <c r="N18" s="1">
        <v>0.98699999999999999</v>
      </c>
    </row>
    <row r="19" spans="1:14" x14ac:dyDescent="0.25">
      <c r="A19">
        <v>18</v>
      </c>
      <c r="B19" s="1">
        <v>1.692318E+16</v>
      </c>
      <c r="C19" s="1">
        <v>12066770000</v>
      </c>
      <c r="D19" s="1">
        <v>0.48199999999999998</v>
      </c>
      <c r="E19" s="1">
        <v>10600000</v>
      </c>
      <c r="F19" s="1">
        <v>15048880</v>
      </c>
      <c r="G19" s="1">
        <v>60035310</v>
      </c>
      <c r="H19" s="1">
        <v>10000000</v>
      </c>
      <c r="I19" s="1">
        <v>1762824</v>
      </c>
      <c r="J19" s="1">
        <v>5635853</v>
      </c>
      <c r="K19" s="1">
        <v>3.2782750000000002E-3</v>
      </c>
      <c r="L19" s="1">
        <v>9.4396829999999999E-4</v>
      </c>
      <c r="M19" s="1">
        <v>0.42901349999999999</v>
      </c>
      <c r="N19" s="1">
        <v>0.98699999999999999</v>
      </c>
    </row>
    <row r="20" spans="1:14" x14ac:dyDescent="0.25">
      <c r="A20">
        <v>19</v>
      </c>
      <c r="B20" s="1">
        <v>1.701217E+16</v>
      </c>
      <c r="C20" s="1">
        <v>12150000000</v>
      </c>
      <c r="D20" s="1">
        <v>0.42399999999999999</v>
      </c>
      <c r="E20" s="1">
        <v>12400000</v>
      </c>
      <c r="F20" s="1">
        <v>12400000</v>
      </c>
      <c r="G20" s="1">
        <v>58300000</v>
      </c>
      <c r="H20" s="1">
        <v>10000000</v>
      </c>
      <c r="I20" s="1">
        <v>2970000</v>
      </c>
      <c r="J20" s="1">
        <v>6000000</v>
      </c>
      <c r="K20" s="1">
        <v>3.3E-3</v>
      </c>
      <c r="L20" s="1">
        <v>1E-3</v>
      </c>
      <c r="M20" s="1">
        <v>0.43</v>
      </c>
      <c r="N20" s="1">
        <v>0.98699999999999999</v>
      </c>
    </row>
    <row r="21" spans="1:14" x14ac:dyDescent="0.25">
      <c r="A21">
        <v>20</v>
      </c>
      <c r="B21" s="1">
        <v>1.707821E+16</v>
      </c>
      <c r="C21" s="1">
        <v>12000000000</v>
      </c>
      <c r="D21" s="1">
        <v>0.42799999999999999</v>
      </c>
      <c r="E21" s="1">
        <v>12400000</v>
      </c>
      <c r="F21" s="1">
        <v>12400000</v>
      </c>
      <c r="G21" s="1">
        <v>58300000</v>
      </c>
      <c r="H21" s="1">
        <v>10000000</v>
      </c>
      <c r="I21" s="1">
        <v>2970000</v>
      </c>
      <c r="J21" s="1">
        <v>6000000</v>
      </c>
      <c r="K21" s="1">
        <v>3.3E-3</v>
      </c>
      <c r="L21" s="1">
        <v>1E-3</v>
      </c>
      <c r="M21" s="1">
        <v>0.43</v>
      </c>
      <c r="N21" s="1">
        <v>0.98699999999999999</v>
      </c>
    </row>
    <row r="22" spans="1:14" x14ac:dyDescent="0.25">
      <c r="A22">
        <v>21</v>
      </c>
      <c r="B22" s="1">
        <v>1.700586E+16</v>
      </c>
      <c r="C22" s="1">
        <v>12000000000</v>
      </c>
      <c r="D22" s="1">
        <v>0.42399999999999999</v>
      </c>
      <c r="E22" s="1">
        <v>13300000</v>
      </c>
      <c r="F22" s="1">
        <v>12400000</v>
      </c>
      <c r="G22" s="1">
        <v>58300000</v>
      </c>
      <c r="H22" s="1">
        <v>10000000</v>
      </c>
      <c r="I22" s="1">
        <v>2970000</v>
      </c>
      <c r="J22" s="1">
        <v>6000000</v>
      </c>
      <c r="K22" s="1">
        <v>3.3E-3</v>
      </c>
      <c r="L22" s="1">
        <v>1E-3</v>
      </c>
      <c r="M22" s="1">
        <v>0.43</v>
      </c>
      <c r="N22" s="1">
        <v>0.98699999999999999</v>
      </c>
    </row>
    <row r="23" spans="1:14" x14ac:dyDescent="0.25">
      <c r="A23">
        <v>22</v>
      </c>
      <c r="B23" s="1">
        <v>1.62059E+16</v>
      </c>
      <c r="C23" s="1">
        <v>12000000000</v>
      </c>
      <c r="D23" s="1">
        <v>0.42399999999999999</v>
      </c>
      <c r="E23" s="1">
        <v>12400000</v>
      </c>
      <c r="F23" s="1">
        <v>13300000</v>
      </c>
      <c r="G23" s="1">
        <v>58300000</v>
      </c>
      <c r="H23" s="1">
        <v>10000000</v>
      </c>
      <c r="I23" s="1">
        <v>2970000</v>
      </c>
      <c r="J23" s="1">
        <v>6000000</v>
      </c>
      <c r="K23" s="1">
        <v>3.3E-3</v>
      </c>
      <c r="L23" s="1">
        <v>1E-3</v>
      </c>
      <c r="M23" s="1">
        <v>0.43</v>
      </c>
      <c r="N23" s="1">
        <v>0.98699999999999999</v>
      </c>
    </row>
    <row r="24" spans="1:14" x14ac:dyDescent="0.25">
      <c r="A24">
        <v>23</v>
      </c>
      <c r="B24" s="1">
        <v>1.640068E+16</v>
      </c>
      <c r="C24" s="1">
        <v>12000000000</v>
      </c>
      <c r="D24" s="1">
        <v>0.42399999999999999</v>
      </c>
      <c r="E24" s="1">
        <v>12400000</v>
      </c>
      <c r="F24" s="1">
        <v>12400000</v>
      </c>
      <c r="G24" s="1">
        <v>59200000</v>
      </c>
      <c r="H24" s="1">
        <v>10000000</v>
      </c>
      <c r="I24" s="1">
        <v>2970000</v>
      </c>
      <c r="J24" s="1">
        <v>6000000</v>
      </c>
      <c r="K24" s="1">
        <v>3.3E-3</v>
      </c>
      <c r="L24" s="1">
        <v>1E-3</v>
      </c>
      <c r="M24" s="1">
        <v>0.43</v>
      </c>
      <c r="N24" s="1">
        <v>0.98699999999999999</v>
      </c>
    </row>
    <row r="25" spans="1:14" x14ac:dyDescent="0.25">
      <c r="A25">
        <v>24</v>
      </c>
      <c r="B25" s="1">
        <v>1.662334E+16</v>
      </c>
      <c r="C25" s="1">
        <v>12000000000</v>
      </c>
      <c r="D25" s="1">
        <v>0.42399999999999999</v>
      </c>
      <c r="E25" s="1">
        <v>12400000</v>
      </c>
      <c r="F25" s="1">
        <v>12400000</v>
      </c>
      <c r="G25" s="1">
        <v>58300000</v>
      </c>
      <c r="H25" s="1">
        <v>10900000</v>
      </c>
      <c r="I25" s="1">
        <v>2970000</v>
      </c>
      <c r="J25" s="1">
        <v>6000000</v>
      </c>
      <c r="K25" s="1">
        <v>3.3E-3</v>
      </c>
      <c r="L25" s="1">
        <v>1E-3</v>
      </c>
      <c r="M25" s="1">
        <v>0.43</v>
      </c>
      <c r="N25" s="1">
        <v>0.98699999999999999</v>
      </c>
    </row>
    <row r="26" spans="1:14" x14ac:dyDescent="0.25">
      <c r="A26">
        <v>25</v>
      </c>
      <c r="B26" s="1">
        <v>1.723751E+16</v>
      </c>
      <c r="C26" s="1">
        <v>12000000000</v>
      </c>
      <c r="D26" s="1">
        <v>0.42399999999999999</v>
      </c>
      <c r="E26" s="1">
        <v>12400000</v>
      </c>
      <c r="F26" s="1">
        <v>12400000</v>
      </c>
      <c r="G26" s="1">
        <v>58300000</v>
      </c>
      <c r="H26" s="1">
        <v>10000000</v>
      </c>
      <c r="I26" s="1">
        <v>3060000</v>
      </c>
      <c r="J26" s="1">
        <v>6000000</v>
      </c>
      <c r="K26" s="1">
        <v>3.3E-3</v>
      </c>
      <c r="L26" s="1">
        <v>1E-3</v>
      </c>
      <c r="M26" s="1">
        <v>0.43</v>
      </c>
      <c r="N26" s="1">
        <v>0.98699999999999999</v>
      </c>
    </row>
    <row r="27" spans="1:14" x14ac:dyDescent="0.25">
      <c r="A27">
        <v>26</v>
      </c>
      <c r="B27" s="1">
        <v>1.719582E+16</v>
      </c>
      <c r="C27" s="1">
        <v>12000000000</v>
      </c>
      <c r="D27" s="1">
        <v>0.42399999999999999</v>
      </c>
      <c r="E27" s="1">
        <v>12400000</v>
      </c>
      <c r="F27" s="1">
        <v>12400000</v>
      </c>
      <c r="G27" s="1">
        <v>58300000</v>
      </c>
      <c r="H27" s="1">
        <v>10000000</v>
      </c>
      <c r="I27" s="1">
        <v>2970000</v>
      </c>
      <c r="J27" s="1">
        <v>6090000</v>
      </c>
      <c r="K27" s="1">
        <v>3.3E-3</v>
      </c>
      <c r="L27" s="1">
        <v>1E-3</v>
      </c>
      <c r="M27" s="1">
        <v>0.43</v>
      </c>
      <c r="N27" s="1">
        <v>0.98699999999999999</v>
      </c>
    </row>
    <row r="28" spans="1:14" x14ac:dyDescent="0.25">
      <c r="A28">
        <v>27</v>
      </c>
      <c r="B28" s="1">
        <v>1.678675E+16</v>
      </c>
      <c r="C28" s="1">
        <v>12000000000</v>
      </c>
      <c r="D28" s="1">
        <v>0.42399999999999999</v>
      </c>
      <c r="E28" s="1">
        <v>12400000</v>
      </c>
      <c r="F28" s="1">
        <v>12400000</v>
      </c>
      <c r="G28" s="1">
        <v>58300000</v>
      </c>
      <c r="H28" s="1">
        <v>10000000</v>
      </c>
      <c r="I28" s="1">
        <v>2970000</v>
      </c>
      <c r="J28" s="1">
        <v>6000000</v>
      </c>
      <c r="K28" s="1">
        <v>3.3999999999999998E-3</v>
      </c>
      <c r="L28" s="1">
        <v>1E-3</v>
      </c>
      <c r="M28" s="1">
        <v>0.43</v>
      </c>
      <c r="N28" s="1">
        <v>0.98699999999999999</v>
      </c>
    </row>
    <row r="29" spans="1:14" x14ac:dyDescent="0.25">
      <c r="A29">
        <v>28</v>
      </c>
      <c r="B29" s="1">
        <v>1.721902E+16</v>
      </c>
      <c r="C29" s="1">
        <v>12000000000</v>
      </c>
      <c r="D29" s="1">
        <v>0.42399999999999999</v>
      </c>
      <c r="E29" s="1">
        <v>12400000</v>
      </c>
      <c r="F29" s="1">
        <v>12400000</v>
      </c>
      <c r="G29" s="1">
        <v>58300000</v>
      </c>
      <c r="H29" s="1">
        <v>10000000</v>
      </c>
      <c r="I29" s="1">
        <v>2970000</v>
      </c>
      <c r="J29" s="1">
        <v>6000000</v>
      </c>
      <c r="K29" s="1">
        <v>3.3E-3</v>
      </c>
      <c r="L29" s="1">
        <v>1.1000000000000001E-3</v>
      </c>
      <c r="M29" s="1">
        <v>0.43</v>
      </c>
      <c r="N29" s="1">
        <v>0.98699999999999999</v>
      </c>
    </row>
    <row r="30" spans="1:14" x14ac:dyDescent="0.25">
      <c r="A30">
        <v>29</v>
      </c>
      <c r="B30" s="1">
        <v>1.654392E+16</v>
      </c>
      <c r="C30" s="1">
        <v>12000000000</v>
      </c>
      <c r="D30" s="1">
        <v>0.42399999999999999</v>
      </c>
      <c r="E30" s="1">
        <v>12400000</v>
      </c>
      <c r="F30" s="1">
        <v>12400000</v>
      </c>
      <c r="G30" s="1">
        <v>58300000</v>
      </c>
      <c r="H30" s="1">
        <v>10000000</v>
      </c>
      <c r="I30" s="1">
        <v>2970000</v>
      </c>
      <c r="J30" s="1">
        <v>6000000</v>
      </c>
      <c r="K30" s="1">
        <v>3.3E-3</v>
      </c>
      <c r="L30" s="1">
        <v>1E-3</v>
      </c>
      <c r="M30" s="1">
        <v>0.43990000000000001</v>
      </c>
      <c r="N30" s="1">
        <v>0.98699999999999999</v>
      </c>
    </row>
    <row r="31" spans="1:14" x14ac:dyDescent="0.25">
      <c r="A31">
        <v>30</v>
      </c>
      <c r="B31" s="1">
        <v>1.654392E+16</v>
      </c>
      <c r="C31" s="1">
        <v>12000000000</v>
      </c>
      <c r="D31" s="1">
        <v>0.42399999999999999</v>
      </c>
      <c r="E31" s="1">
        <v>12400000</v>
      </c>
      <c r="F31" s="1">
        <v>12400000</v>
      </c>
      <c r="G31" s="1">
        <v>58300000</v>
      </c>
      <c r="H31" s="1">
        <v>10000000</v>
      </c>
      <c r="I31" s="1">
        <v>2970000</v>
      </c>
      <c r="J31" s="1">
        <v>6000000</v>
      </c>
      <c r="K31" s="1">
        <v>3.3E-3</v>
      </c>
      <c r="L31" s="1">
        <v>1E-3</v>
      </c>
      <c r="M31" s="1">
        <v>0.43</v>
      </c>
      <c r="N31" s="1">
        <v>0.97709999999999997</v>
      </c>
    </row>
    <row r="32" spans="1:14" x14ac:dyDescent="0.25">
      <c r="A32">
        <v>31</v>
      </c>
      <c r="B32" s="1">
        <v>1.375182E+16</v>
      </c>
      <c r="C32" s="1">
        <v>12000880000</v>
      </c>
      <c r="D32" s="1">
        <v>0.38400000000000001</v>
      </c>
      <c r="E32" s="1">
        <v>17456880</v>
      </c>
      <c r="F32" s="1">
        <v>18025210</v>
      </c>
      <c r="G32" s="1">
        <v>67300000</v>
      </c>
      <c r="H32" s="1">
        <v>12569350</v>
      </c>
      <c r="I32" s="1">
        <v>3074555</v>
      </c>
      <c r="J32" s="1">
        <v>6130319</v>
      </c>
      <c r="K32" s="1">
        <v>3.4026939999999999E-3</v>
      </c>
      <c r="L32" s="1">
        <v>9.8771420000000006E-4</v>
      </c>
      <c r="M32" s="1">
        <v>0.45181789999999999</v>
      </c>
      <c r="N32" s="1">
        <v>0.98699999999999999</v>
      </c>
    </row>
    <row r="33" spans="1:14" x14ac:dyDescent="0.25">
      <c r="A33">
        <v>32</v>
      </c>
      <c r="B33" s="1">
        <v>1.374623E+16</v>
      </c>
      <c r="C33" s="1">
        <v>12000770000</v>
      </c>
      <c r="D33" s="1">
        <v>0.38400000000000001</v>
      </c>
      <c r="E33" s="1">
        <v>17525230</v>
      </c>
      <c r="F33" s="1">
        <v>18085760</v>
      </c>
      <c r="G33" s="1">
        <v>67300000</v>
      </c>
      <c r="H33" s="1">
        <v>12600570</v>
      </c>
      <c r="I33" s="1">
        <v>3075757</v>
      </c>
      <c r="J33" s="1">
        <v>6131566</v>
      </c>
      <c r="K33" s="1">
        <v>3.40318E-3</v>
      </c>
      <c r="L33" s="1">
        <v>9.8776289999999997E-4</v>
      </c>
      <c r="M33" s="1">
        <v>0.45192110000000002</v>
      </c>
      <c r="N33" s="1">
        <v>0.98699999999999999</v>
      </c>
    </row>
    <row r="34" spans="1:14" x14ac:dyDescent="0.25">
      <c r="A34">
        <v>33</v>
      </c>
      <c r="B34" s="1">
        <v>1.375565E+16</v>
      </c>
      <c r="C34" s="1">
        <v>12000990000</v>
      </c>
      <c r="D34" s="1">
        <v>0.38400000000000001</v>
      </c>
      <c r="E34" s="1">
        <v>17393190</v>
      </c>
      <c r="F34" s="1">
        <v>17971040</v>
      </c>
      <c r="G34" s="1">
        <v>67300000</v>
      </c>
      <c r="H34" s="1">
        <v>12540770</v>
      </c>
      <c r="I34" s="1">
        <v>3073463</v>
      </c>
      <c r="J34" s="1">
        <v>6129230</v>
      </c>
      <c r="K34" s="1">
        <v>3.4023730000000002E-3</v>
      </c>
      <c r="L34" s="1">
        <v>9.8763679999999991E-4</v>
      </c>
      <c r="M34" s="1">
        <v>0.45174920000000002</v>
      </c>
      <c r="N34" s="1">
        <v>0.98699999999999999</v>
      </c>
    </row>
    <row r="35" spans="1:14" x14ac:dyDescent="0.25">
      <c r="A35">
        <v>34</v>
      </c>
      <c r="B35" s="1">
        <v>1.288469E+16</v>
      </c>
      <c r="C35" s="1">
        <v>12003300000</v>
      </c>
      <c r="D35" s="1">
        <v>0.34399999999999997</v>
      </c>
      <c r="E35" s="1">
        <v>21764610</v>
      </c>
      <c r="F35" s="1">
        <v>22211570</v>
      </c>
      <c r="G35" s="1">
        <v>76300000</v>
      </c>
      <c r="H35" s="1">
        <v>14795160</v>
      </c>
      <c r="I35" s="1">
        <v>3167315</v>
      </c>
      <c r="J35" s="1">
        <v>6252837</v>
      </c>
      <c r="K35" s="1">
        <v>3.4856179999999998E-3</v>
      </c>
      <c r="L35" s="1">
        <v>9.7704790000000008E-4</v>
      </c>
      <c r="M35" s="1">
        <v>0.47218840000000001</v>
      </c>
      <c r="N35" s="1">
        <v>0.98699999999999999</v>
      </c>
    </row>
    <row r="36" spans="1:14" x14ac:dyDescent="0.25">
      <c r="A36">
        <v>35</v>
      </c>
      <c r="B36" s="1">
        <v>1.205925E+16</v>
      </c>
      <c r="C36" s="1">
        <v>12007720000</v>
      </c>
      <c r="D36" s="1">
        <v>0.30399999999999999</v>
      </c>
      <c r="E36" s="1">
        <v>26020880</v>
      </c>
      <c r="F36" s="1">
        <v>25422030</v>
      </c>
      <c r="G36" s="1">
        <v>85300000</v>
      </c>
      <c r="H36" s="1">
        <v>16968190</v>
      </c>
      <c r="I36" s="1">
        <v>3268135</v>
      </c>
      <c r="J36" s="1">
        <v>6372871</v>
      </c>
      <c r="K36" s="1">
        <v>3.583241E-3</v>
      </c>
      <c r="L36" s="1">
        <v>9.6434310000000003E-4</v>
      </c>
      <c r="M36" s="1">
        <v>0.49549549999999998</v>
      </c>
      <c r="N36" s="1">
        <v>0.98699999999999999</v>
      </c>
    </row>
    <row r="37" spans="1:14" x14ac:dyDescent="0.25">
      <c r="A37">
        <v>36</v>
      </c>
      <c r="B37" s="1">
        <v>1.010094E+16</v>
      </c>
      <c r="C37" s="1">
        <v>12015270000</v>
      </c>
      <c r="D37" s="1">
        <v>0.26400000000000001</v>
      </c>
      <c r="E37" s="1">
        <v>30495570</v>
      </c>
      <c r="F37" s="1">
        <v>27589500</v>
      </c>
      <c r="G37" s="1">
        <v>94300000</v>
      </c>
      <c r="H37" s="1">
        <v>19215050</v>
      </c>
      <c r="I37" s="1">
        <v>3379802</v>
      </c>
      <c r="J37" s="1">
        <v>6489114</v>
      </c>
      <c r="K37" s="1">
        <v>3.688176E-3</v>
      </c>
      <c r="L37" s="1">
        <v>9.4939139999999998E-4</v>
      </c>
      <c r="M37" s="1">
        <v>0.52294019999999997</v>
      </c>
      <c r="N37" s="1">
        <v>0.98699999999999999</v>
      </c>
    </row>
    <row r="38" spans="1:14" x14ac:dyDescent="0.25">
      <c r="A38">
        <v>37</v>
      </c>
      <c r="B38" s="1">
        <v>1.007021E+16</v>
      </c>
      <c r="C38" s="1">
        <v>12020380000</v>
      </c>
      <c r="D38" s="1">
        <v>0.224</v>
      </c>
      <c r="E38" s="1">
        <v>33521190</v>
      </c>
      <c r="F38" s="1">
        <v>29070320</v>
      </c>
      <c r="G38" s="1">
        <v>97150000</v>
      </c>
      <c r="H38" s="1">
        <v>20778160</v>
      </c>
      <c r="I38" s="1">
        <v>3495431</v>
      </c>
      <c r="J38" s="1">
        <v>6584188</v>
      </c>
      <c r="K38" s="1">
        <v>3.782348E-3</v>
      </c>
      <c r="L38" s="1">
        <v>9.3985059999999998E-4</v>
      </c>
      <c r="M38" s="1">
        <v>0.54854069999999999</v>
      </c>
      <c r="N38" s="1">
        <v>0.98699999999999999</v>
      </c>
    </row>
    <row r="39" spans="1:14" x14ac:dyDescent="0.25">
      <c r="A39">
        <v>38</v>
      </c>
      <c r="B39" s="1">
        <v>9989989000000000</v>
      </c>
      <c r="C39" s="1">
        <v>12170380000</v>
      </c>
      <c r="D39" s="1">
        <v>0.224</v>
      </c>
      <c r="E39" s="1">
        <v>33521190</v>
      </c>
      <c r="F39" s="1">
        <v>29070320</v>
      </c>
      <c r="G39" s="1">
        <v>97150000</v>
      </c>
      <c r="H39" s="1">
        <v>20778160</v>
      </c>
      <c r="I39" s="1">
        <v>3495431</v>
      </c>
      <c r="J39" s="1">
        <v>6584188</v>
      </c>
      <c r="K39" s="1">
        <v>3.782348E-3</v>
      </c>
      <c r="L39" s="1">
        <v>9.3985059999999998E-4</v>
      </c>
      <c r="M39" s="1">
        <v>0.54854069999999999</v>
      </c>
      <c r="N39" s="1">
        <v>0.98699999999999999</v>
      </c>
    </row>
    <row r="40" spans="1:14" x14ac:dyDescent="0.25">
      <c r="A40">
        <v>39</v>
      </c>
      <c r="B40" s="1">
        <v>1.002257E+16</v>
      </c>
      <c r="C40" s="1">
        <v>12020380000</v>
      </c>
      <c r="D40" s="1">
        <v>0.22800000000000001</v>
      </c>
      <c r="E40" s="1">
        <v>33521190</v>
      </c>
      <c r="F40" s="1">
        <v>29070320</v>
      </c>
      <c r="G40" s="1">
        <v>97150000</v>
      </c>
      <c r="H40" s="1">
        <v>20778160</v>
      </c>
      <c r="I40" s="1">
        <v>3495431</v>
      </c>
      <c r="J40" s="1">
        <v>6584188</v>
      </c>
      <c r="K40" s="1">
        <v>3.782348E-3</v>
      </c>
      <c r="L40" s="1">
        <v>9.3985059999999998E-4</v>
      </c>
      <c r="M40" s="1">
        <v>0.54854069999999999</v>
      </c>
      <c r="N40" s="1">
        <v>0.98699999999999999</v>
      </c>
    </row>
    <row r="41" spans="1:14" x14ac:dyDescent="0.25">
      <c r="A41">
        <v>40</v>
      </c>
      <c r="B41" s="1">
        <v>1.010829E+16</v>
      </c>
      <c r="C41" s="1">
        <v>12020380000</v>
      </c>
      <c r="D41" s="1">
        <v>0.224</v>
      </c>
      <c r="E41" s="1">
        <v>34421190</v>
      </c>
      <c r="F41" s="1">
        <v>29070320</v>
      </c>
      <c r="G41" s="1">
        <v>97150000</v>
      </c>
      <c r="H41" s="1">
        <v>20778160</v>
      </c>
      <c r="I41" s="1">
        <v>3495431</v>
      </c>
      <c r="J41" s="1">
        <v>6584188</v>
      </c>
      <c r="K41" s="1">
        <v>3.782348E-3</v>
      </c>
      <c r="L41" s="1">
        <v>9.3985059999999998E-4</v>
      </c>
      <c r="M41" s="1">
        <v>0.54854069999999999</v>
      </c>
      <c r="N41" s="1">
        <v>0.98699999999999999</v>
      </c>
    </row>
    <row r="42" spans="1:14" x14ac:dyDescent="0.25">
      <c r="A42">
        <v>41</v>
      </c>
      <c r="B42" s="1">
        <v>9853611000000000</v>
      </c>
      <c r="C42" s="1">
        <v>12020380000</v>
      </c>
      <c r="D42" s="1">
        <v>0.224</v>
      </c>
      <c r="E42" s="1">
        <v>33521190</v>
      </c>
      <c r="F42" s="1">
        <v>29970320</v>
      </c>
      <c r="G42" s="1">
        <v>97150000</v>
      </c>
      <c r="H42" s="1">
        <v>20778160</v>
      </c>
      <c r="I42" s="1">
        <v>3495431</v>
      </c>
      <c r="J42" s="1">
        <v>6584188</v>
      </c>
      <c r="K42" s="1">
        <v>3.782348E-3</v>
      </c>
      <c r="L42" s="1">
        <v>9.3985059999999998E-4</v>
      </c>
      <c r="M42" s="1">
        <v>0.54854069999999999</v>
      </c>
      <c r="N42" s="1">
        <v>0.98699999999999999</v>
      </c>
    </row>
    <row r="43" spans="1:14" x14ac:dyDescent="0.25">
      <c r="A43">
        <v>42</v>
      </c>
      <c r="B43" s="1">
        <v>1.005862E+16</v>
      </c>
      <c r="C43" s="1">
        <v>12020380000</v>
      </c>
      <c r="D43" s="1">
        <v>0.224</v>
      </c>
      <c r="E43" s="1">
        <v>33521190</v>
      </c>
      <c r="F43" s="1">
        <v>29070320</v>
      </c>
      <c r="G43" s="1">
        <v>98050000</v>
      </c>
      <c r="H43" s="1">
        <v>20778160</v>
      </c>
      <c r="I43" s="1">
        <v>3495431</v>
      </c>
      <c r="J43" s="1">
        <v>6584188</v>
      </c>
      <c r="K43" s="1">
        <v>3.782348E-3</v>
      </c>
      <c r="L43" s="1">
        <v>9.3985059999999998E-4</v>
      </c>
      <c r="M43" s="1">
        <v>0.54854069999999999</v>
      </c>
      <c r="N43" s="1">
        <v>0.98699999999999999</v>
      </c>
    </row>
    <row r="44" spans="1:14" x14ac:dyDescent="0.25">
      <c r="A44">
        <v>43</v>
      </c>
      <c r="B44" s="1">
        <v>1.008514E+16</v>
      </c>
      <c r="C44" s="1">
        <v>12020380000</v>
      </c>
      <c r="D44" s="1">
        <v>0.224</v>
      </c>
      <c r="E44" s="1">
        <v>33521190</v>
      </c>
      <c r="F44" s="1">
        <v>29070320</v>
      </c>
      <c r="G44" s="1">
        <v>97150000</v>
      </c>
      <c r="H44" s="1">
        <v>21678160</v>
      </c>
      <c r="I44" s="1">
        <v>3495431</v>
      </c>
      <c r="J44" s="1">
        <v>6584188</v>
      </c>
      <c r="K44" s="1">
        <v>3.782348E-3</v>
      </c>
      <c r="L44" s="1">
        <v>9.3985059999999998E-4</v>
      </c>
      <c r="M44" s="1">
        <v>0.54854069999999999</v>
      </c>
      <c r="N44" s="1">
        <v>0.98699999999999999</v>
      </c>
    </row>
    <row r="45" spans="1:14" x14ac:dyDescent="0.25">
      <c r="A45">
        <v>44</v>
      </c>
      <c r="B45" s="1">
        <v>1.002933E+16</v>
      </c>
      <c r="C45" s="1">
        <v>12020380000</v>
      </c>
      <c r="D45" s="1">
        <v>0.224</v>
      </c>
      <c r="E45" s="1">
        <v>33521190</v>
      </c>
      <c r="F45" s="1">
        <v>29070320</v>
      </c>
      <c r="G45" s="1">
        <v>97150000</v>
      </c>
      <c r="H45" s="1">
        <v>20778160</v>
      </c>
      <c r="I45" s="1">
        <v>3585431</v>
      </c>
      <c r="J45" s="1">
        <v>6584188</v>
      </c>
      <c r="K45" s="1">
        <v>3.782348E-3</v>
      </c>
      <c r="L45" s="1">
        <v>9.3985059999999998E-4</v>
      </c>
      <c r="M45" s="1">
        <v>0.54854069999999999</v>
      </c>
      <c r="N45" s="1">
        <v>0.98699999999999999</v>
      </c>
    </row>
    <row r="46" spans="1:14" x14ac:dyDescent="0.25">
      <c r="A46">
        <v>45</v>
      </c>
      <c r="B46" s="1">
        <v>1.009765E+16</v>
      </c>
      <c r="C46" s="1">
        <v>12020380000</v>
      </c>
      <c r="D46" s="1">
        <v>0.224</v>
      </c>
      <c r="E46" s="1">
        <v>33521190</v>
      </c>
      <c r="F46" s="1">
        <v>29070320</v>
      </c>
      <c r="G46" s="1">
        <v>97150000</v>
      </c>
      <c r="H46" s="1">
        <v>20778160</v>
      </c>
      <c r="I46" s="1">
        <v>3495431</v>
      </c>
      <c r="J46" s="1">
        <v>6674188</v>
      </c>
      <c r="K46" s="1">
        <v>3.782348E-3</v>
      </c>
      <c r="L46" s="1">
        <v>9.3985059999999998E-4</v>
      </c>
      <c r="M46" s="1">
        <v>0.54854069999999999</v>
      </c>
      <c r="N46" s="1">
        <v>0.98699999999999999</v>
      </c>
    </row>
    <row r="47" spans="1:14" x14ac:dyDescent="0.25">
      <c r="A47">
        <v>46</v>
      </c>
      <c r="B47" s="1">
        <v>1.012762E+16</v>
      </c>
      <c r="C47" s="1">
        <v>12020380000</v>
      </c>
      <c r="D47" s="1">
        <v>0.224</v>
      </c>
      <c r="E47" s="1">
        <v>33521190</v>
      </c>
      <c r="F47" s="1">
        <v>29070320</v>
      </c>
      <c r="G47" s="1">
        <v>97150000</v>
      </c>
      <c r="H47" s="1">
        <v>20778160</v>
      </c>
      <c r="I47" s="1">
        <v>3495431</v>
      </c>
      <c r="J47" s="1">
        <v>6584188</v>
      </c>
      <c r="K47" s="1">
        <v>3.8823479999999999E-3</v>
      </c>
      <c r="L47" s="1">
        <v>9.3985059999999998E-4</v>
      </c>
      <c r="M47" s="1">
        <v>0.54854069999999999</v>
      </c>
      <c r="N47" s="1">
        <v>0.98699999999999999</v>
      </c>
    </row>
    <row r="48" spans="1:14" x14ac:dyDescent="0.25">
      <c r="A48">
        <v>47</v>
      </c>
      <c r="B48" s="1">
        <v>1.034159E+16</v>
      </c>
      <c r="C48" s="1">
        <v>12020380000</v>
      </c>
      <c r="D48" s="1">
        <v>0.224</v>
      </c>
      <c r="E48" s="1">
        <v>33521190</v>
      </c>
      <c r="F48" s="1">
        <v>29070320</v>
      </c>
      <c r="G48" s="1">
        <v>97150000</v>
      </c>
      <c r="H48" s="1">
        <v>20778160</v>
      </c>
      <c r="I48" s="1">
        <v>3495431</v>
      </c>
      <c r="J48" s="1">
        <v>6584188</v>
      </c>
      <c r="K48" s="1">
        <v>3.782348E-3</v>
      </c>
      <c r="L48" s="1">
        <v>1.0398510000000001E-3</v>
      </c>
      <c r="M48" s="1">
        <v>0.54854069999999999</v>
      </c>
      <c r="N48" s="1">
        <v>0.98699999999999999</v>
      </c>
    </row>
    <row r="49" spans="1:14" x14ac:dyDescent="0.25">
      <c r="A49">
        <v>48</v>
      </c>
      <c r="B49" s="1">
        <v>1.01017E+16</v>
      </c>
      <c r="C49" s="1">
        <v>12020380000</v>
      </c>
      <c r="D49" s="1">
        <v>0.224</v>
      </c>
      <c r="E49" s="1">
        <v>33521190</v>
      </c>
      <c r="F49" s="1">
        <v>29070320</v>
      </c>
      <c r="G49" s="1">
        <v>97150000</v>
      </c>
      <c r="H49" s="1">
        <v>20778160</v>
      </c>
      <c r="I49" s="1">
        <v>3495431</v>
      </c>
      <c r="J49" s="1">
        <v>6584188</v>
      </c>
      <c r="K49" s="1">
        <v>3.782348E-3</v>
      </c>
      <c r="L49" s="1">
        <v>9.3985059999999998E-4</v>
      </c>
      <c r="M49" s="1">
        <v>0.55844070000000001</v>
      </c>
      <c r="N49" s="1">
        <v>0.98699999999999999</v>
      </c>
    </row>
    <row r="50" spans="1:14" x14ac:dyDescent="0.25">
      <c r="A50">
        <v>49</v>
      </c>
      <c r="B50" s="1">
        <v>9105620000000000</v>
      </c>
      <c r="C50" s="1">
        <v>12020380000</v>
      </c>
      <c r="D50" s="1">
        <v>0.224</v>
      </c>
      <c r="E50" s="1">
        <v>33521190</v>
      </c>
      <c r="F50" s="1">
        <v>29070320</v>
      </c>
      <c r="G50" s="1">
        <v>97150000</v>
      </c>
      <c r="H50" s="1">
        <v>20778160</v>
      </c>
      <c r="I50" s="1">
        <v>3495431</v>
      </c>
      <c r="J50" s="1">
        <v>6584188</v>
      </c>
      <c r="K50" s="1">
        <v>3.782348E-3</v>
      </c>
      <c r="L50" s="1">
        <v>9.3985059999999998E-4</v>
      </c>
      <c r="M50" s="1">
        <v>0.54854069999999999</v>
      </c>
      <c r="N50" s="1">
        <v>0.97709999999999997</v>
      </c>
    </row>
    <row r="51" spans="1:14" x14ac:dyDescent="0.25">
      <c r="A51">
        <v>50</v>
      </c>
      <c r="B51" s="1">
        <v>6487032000000000</v>
      </c>
      <c r="C51" s="1">
        <v>12093220000</v>
      </c>
      <c r="D51" s="1">
        <v>0.20005039999999999</v>
      </c>
      <c r="E51" s="1">
        <v>24521190</v>
      </c>
      <c r="F51" s="1">
        <v>38070320</v>
      </c>
      <c r="G51" s="1">
        <v>98575000</v>
      </c>
      <c r="H51" s="1">
        <v>15359790</v>
      </c>
      <c r="I51" s="1">
        <v>4395431</v>
      </c>
      <c r="J51" s="1">
        <v>7484188</v>
      </c>
      <c r="K51" s="1">
        <v>2.782348E-3</v>
      </c>
      <c r="L51" s="1">
        <v>1.939851E-3</v>
      </c>
      <c r="M51" s="1">
        <v>0.44954070000000002</v>
      </c>
      <c r="N51" s="1">
        <v>0.97533329999999996</v>
      </c>
    </row>
    <row r="52" spans="1:14" x14ac:dyDescent="0.25">
      <c r="A52">
        <v>51</v>
      </c>
      <c r="B52" s="1">
        <v>6484146000000000</v>
      </c>
      <c r="C52" s="1">
        <v>12100400000</v>
      </c>
      <c r="D52" s="1">
        <v>0.19986860000000001</v>
      </c>
      <c r="E52" s="1">
        <v>24521190</v>
      </c>
      <c r="F52" s="1">
        <v>38070320</v>
      </c>
      <c r="G52" s="1">
        <v>98575000</v>
      </c>
      <c r="H52" s="1">
        <v>15366360</v>
      </c>
      <c r="I52" s="1">
        <v>4395431</v>
      </c>
      <c r="J52" s="1">
        <v>7484188</v>
      </c>
      <c r="K52" s="1">
        <v>2.782348E-3</v>
      </c>
      <c r="L52" s="1">
        <v>1.939851E-3</v>
      </c>
      <c r="M52" s="1">
        <v>0.44954070000000002</v>
      </c>
      <c r="N52" s="1">
        <v>0.9753309</v>
      </c>
    </row>
    <row r="53" spans="1:14" x14ac:dyDescent="0.25">
      <c r="A53">
        <v>52</v>
      </c>
      <c r="B53" s="1">
        <v>6488418000000000</v>
      </c>
      <c r="C53" s="1">
        <v>12086690000</v>
      </c>
      <c r="D53" s="1">
        <v>0.20021929999999999</v>
      </c>
      <c r="E53" s="1">
        <v>24521190</v>
      </c>
      <c r="F53" s="1">
        <v>38070320</v>
      </c>
      <c r="G53" s="1">
        <v>98575000</v>
      </c>
      <c r="H53" s="1">
        <v>15353770</v>
      </c>
      <c r="I53" s="1">
        <v>4395431</v>
      </c>
      <c r="J53" s="1">
        <v>7484188</v>
      </c>
      <c r="K53" s="1">
        <v>2.782348E-3</v>
      </c>
      <c r="L53" s="1">
        <v>1.939851E-3</v>
      </c>
      <c r="M53" s="1">
        <v>0.44954070000000002</v>
      </c>
      <c r="N53" s="1">
        <v>0.97533550000000002</v>
      </c>
    </row>
    <row r="54" spans="1:14" x14ac:dyDescent="0.25">
      <c r="A54">
        <v>53</v>
      </c>
      <c r="B54" s="1">
        <v>5734266000000000</v>
      </c>
      <c r="C54" s="1">
        <v>12185120000</v>
      </c>
      <c r="D54" s="1">
        <v>0.17854210000000001</v>
      </c>
      <c r="E54" s="1">
        <v>15521190</v>
      </c>
      <c r="F54" s="1">
        <v>38899170</v>
      </c>
      <c r="G54" s="1">
        <v>99287500</v>
      </c>
      <c r="H54" s="1">
        <v>10283230</v>
      </c>
      <c r="I54" s="1">
        <v>5295431</v>
      </c>
      <c r="J54" s="1">
        <v>8010765</v>
      </c>
      <c r="K54" s="1">
        <v>1.782348E-3</v>
      </c>
      <c r="L54" s="1">
        <v>2.9398509999999998E-3</v>
      </c>
      <c r="M54" s="1">
        <v>0.35054069999999998</v>
      </c>
      <c r="N54" s="1">
        <v>0.97050460000000005</v>
      </c>
    </row>
    <row r="55" spans="1:14" x14ac:dyDescent="0.25">
      <c r="A55">
        <v>54</v>
      </c>
      <c r="B55" s="1">
        <v>5938965000000000</v>
      </c>
      <c r="C55" s="1">
        <v>12274510000</v>
      </c>
      <c r="D55" s="1">
        <v>0.17291100000000001</v>
      </c>
      <c r="E55" s="1">
        <v>12760600</v>
      </c>
      <c r="F55" s="1">
        <v>34942850</v>
      </c>
      <c r="G55" s="1">
        <v>99643750</v>
      </c>
      <c r="H55" s="1">
        <v>10141620</v>
      </c>
      <c r="I55" s="1">
        <v>6195431</v>
      </c>
      <c r="J55" s="1">
        <v>7932333</v>
      </c>
      <c r="K55" s="1">
        <v>7.8234789999999995E-4</v>
      </c>
      <c r="L55" s="1">
        <v>3.9398510000000003E-3</v>
      </c>
      <c r="M55" s="1">
        <v>0.25154070000000001</v>
      </c>
      <c r="N55" s="1">
        <v>0.96321880000000004</v>
      </c>
    </row>
    <row r="56" spans="1:14" x14ac:dyDescent="0.25">
      <c r="A56">
        <v>55</v>
      </c>
      <c r="B56" s="1">
        <v>5732777000000000</v>
      </c>
      <c r="C56" s="1">
        <v>12335120000</v>
      </c>
      <c r="D56" s="1">
        <v>0.17854210000000001</v>
      </c>
      <c r="E56" s="1">
        <v>15521190</v>
      </c>
      <c r="F56" s="1">
        <v>38899170</v>
      </c>
      <c r="G56" s="1">
        <v>99287500</v>
      </c>
      <c r="H56" s="1">
        <v>10283230</v>
      </c>
      <c r="I56" s="1">
        <v>5295431</v>
      </c>
      <c r="J56" s="1">
        <v>8010765</v>
      </c>
      <c r="K56" s="1">
        <v>1.782348E-3</v>
      </c>
      <c r="L56" s="1">
        <v>2.9398509999999998E-3</v>
      </c>
      <c r="M56" s="1">
        <v>0.35054069999999998</v>
      </c>
      <c r="N56" s="1">
        <v>0.97050460000000005</v>
      </c>
    </row>
    <row r="57" spans="1:14" x14ac:dyDescent="0.25">
      <c r="A57">
        <v>56</v>
      </c>
      <c r="B57" s="1">
        <v>5720094000000000</v>
      </c>
      <c r="C57" s="1">
        <v>12185120000</v>
      </c>
      <c r="D57" s="1">
        <v>0.18254210000000001</v>
      </c>
      <c r="E57" s="1">
        <v>15521190</v>
      </c>
      <c r="F57" s="1">
        <v>38899170</v>
      </c>
      <c r="G57" s="1">
        <v>99287500</v>
      </c>
      <c r="H57" s="1">
        <v>10283230</v>
      </c>
      <c r="I57" s="1">
        <v>5295431</v>
      </c>
      <c r="J57" s="1">
        <v>8010765</v>
      </c>
      <c r="K57" s="1">
        <v>1.782348E-3</v>
      </c>
      <c r="L57" s="1">
        <v>2.9398509999999998E-3</v>
      </c>
      <c r="M57" s="1">
        <v>0.35054069999999998</v>
      </c>
      <c r="N57" s="1">
        <v>0.97050460000000005</v>
      </c>
    </row>
    <row r="58" spans="1:14" x14ac:dyDescent="0.25">
      <c r="A58">
        <v>57</v>
      </c>
      <c r="B58" s="1">
        <v>5763907000000000</v>
      </c>
      <c r="C58" s="1">
        <v>12185120000</v>
      </c>
      <c r="D58" s="1">
        <v>0.17854210000000001</v>
      </c>
      <c r="E58" s="1">
        <v>16421190</v>
      </c>
      <c r="F58" s="1">
        <v>38899170</v>
      </c>
      <c r="G58" s="1">
        <v>99287500</v>
      </c>
      <c r="H58" s="1">
        <v>10283230</v>
      </c>
      <c r="I58" s="1">
        <v>5295431</v>
      </c>
      <c r="J58" s="1">
        <v>8010765</v>
      </c>
      <c r="K58" s="1">
        <v>1.782348E-3</v>
      </c>
      <c r="L58" s="1">
        <v>2.9398509999999998E-3</v>
      </c>
      <c r="M58" s="1">
        <v>0.35054069999999998</v>
      </c>
      <c r="N58" s="1">
        <v>0.97050460000000005</v>
      </c>
    </row>
    <row r="59" spans="1:14" x14ac:dyDescent="0.25">
      <c r="A59">
        <v>58</v>
      </c>
      <c r="B59" s="1">
        <v>5716505000000000</v>
      </c>
      <c r="C59" s="1">
        <v>12185120000</v>
      </c>
      <c r="D59" s="1">
        <v>0.17854210000000001</v>
      </c>
      <c r="E59" s="1">
        <v>15521190</v>
      </c>
      <c r="F59" s="1">
        <v>39799170</v>
      </c>
      <c r="G59" s="1">
        <v>99287500</v>
      </c>
      <c r="H59" s="1">
        <v>10283230</v>
      </c>
      <c r="I59" s="1">
        <v>5295431</v>
      </c>
      <c r="J59" s="1">
        <v>8010765</v>
      </c>
      <c r="K59" s="1">
        <v>1.782348E-3</v>
      </c>
      <c r="L59" s="1">
        <v>2.9398509999999998E-3</v>
      </c>
      <c r="M59" s="1">
        <v>0.35054069999999998</v>
      </c>
      <c r="N59" s="1">
        <v>0.97050460000000005</v>
      </c>
    </row>
    <row r="60" spans="1:14" x14ac:dyDescent="0.25">
      <c r="A60">
        <v>59</v>
      </c>
      <c r="B60" s="1">
        <v>5758822000000000</v>
      </c>
      <c r="C60" s="1">
        <v>12185120000</v>
      </c>
      <c r="D60" s="1">
        <v>0.17854210000000001</v>
      </c>
      <c r="E60" s="1">
        <v>15521190</v>
      </c>
      <c r="F60" s="1">
        <v>38899170</v>
      </c>
      <c r="G60" s="1">
        <v>98387500</v>
      </c>
      <c r="H60" s="1">
        <v>10283230</v>
      </c>
      <c r="I60" s="1">
        <v>5295431</v>
      </c>
      <c r="J60" s="1">
        <v>8010765</v>
      </c>
      <c r="K60" s="1">
        <v>1.782348E-3</v>
      </c>
      <c r="L60" s="1">
        <v>2.9398509999999998E-3</v>
      </c>
      <c r="M60" s="1">
        <v>0.35054069999999998</v>
      </c>
      <c r="N60" s="1">
        <v>0.97050460000000005</v>
      </c>
    </row>
    <row r="61" spans="1:14" x14ac:dyDescent="0.25">
      <c r="A61">
        <v>60</v>
      </c>
      <c r="B61" s="1">
        <v>5712549000000000</v>
      </c>
      <c r="C61" s="1">
        <v>12185120000</v>
      </c>
      <c r="D61" s="1">
        <v>0.17854210000000001</v>
      </c>
      <c r="E61" s="1">
        <v>15521190</v>
      </c>
      <c r="F61" s="1">
        <v>38899170</v>
      </c>
      <c r="G61" s="1">
        <v>99287500</v>
      </c>
      <c r="H61" s="1">
        <v>11183230</v>
      </c>
      <c r="I61" s="1">
        <v>5295431</v>
      </c>
      <c r="J61" s="1">
        <v>8010765</v>
      </c>
      <c r="K61" s="1">
        <v>1.782348E-3</v>
      </c>
      <c r="L61" s="1">
        <v>2.9398509999999998E-3</v>
      </c>
      <c r="M61" s="1">
        <v>0.35054069999999998</v>
      </c>
      <c r="N61" s="1">
        <v>0.97050460000000005</v>
      </c>
    </row>
    <row r="62" spans="1:14" x14ac:dyDescent="0.25">
      <c r="A62">
        <v>61</v>
      </c>
      <c r="B62" s="1">
        <v>5718389000000000</v>
      </c>
      <c r="C62" s="1">
        <v>12185120000</v>
      </c>
      <c r="D62" s="1">
        <v>0.17854210000000001</v>
      </c>
      <c r="E62" s="1">
        <v>15521190</v>
      </c>
      <c r="F62" s="1">
        <v>38899170</v>
      </c>
      <c r="G62" s="1">
        <v>99287500</v>
      </c>
      <c r="H62" s="1">
        <v>10283230</v>
      </c>
      <c r="I62" s="1">
        <v>5385431</v>
      </c>
      <c r="J62" s="1">
        <v>8010765</v>
      </c>
      <c r="K62" s="1">
        <v>1.782348E-3</v>
      </c>
      <c r="L62" s="1">
        <v>2.9398509999999998E-3</v>
      </c>
      <c r="M62" s="1">
        <v>0.35054069999999998</v>
      </c>
      <c r="N62" s="1">
        <v>0.97050460000000005</v>
      </c>
    </row>
    <row r="63" spans="1:14" x14ac:dyDescent="0.25">
      <c r="A63">
        <v>62</v>
      </c>
      <c r="B63" s="1">
        <v>5727820000000000</v>
      </c>
      <c r="C63" s="1">
        <v>12185120000</v>
      </c>
      <c r="D63" s="1">
        <v>0.17854210000000001</v>
      </c>
      <c r="E63" s="1">
        <v>15521190</v>
      </c>
      <c r="F63" s="1">
        <v>38899170</v>
      </c>
      <c r="G63" s="1">
        <v>99287500</v>
      </c>
      <c r="H63" s="1">
        <v>10283230</v>
      </c>
      <c r="I63" s="1">
        <v>5295431</v>
      </c>
      <c r="J63" s="1">
        <v>8100765</v>
      </c>
      <c r="K63" s="1">
        <v>1.782348E-3</v>
      </c>
      <c r="L63" s="1">
        <v>2.9398509999999998E-3</v>
      </c>
      <c r="M63" s="1">
        <v>0.35054069999999998</v>
      </c>
      <c r="N63" s="1">
        <v>0.97050460000000005</v>
      </c>
    </row>
    <row r="64" spans="1:14" x14ac:dyDescent="0.25">
      <c r="A64">
        <v>63</v>
      </c>
      <c r="B64" s="1">
        <v>5743145000000000</v>
      </c>
      <c r="C64" s="1">
        <v>12185120000</v>
      </c>
      <c r="D64" s="1">
        <v>0.17854210000000001</v>
      </c>
      <c r="E64" s="1">
        <v>15521190</v>
      </c>
      <c r="F64" s="1">
        <v>38899170</v>
      </c>
      <c r="G64" s="1">
        <v>99287500</v>
      </c>
      <c r="H64" s="1">
        <v>10283230</v>
      </c>
      <c r="I64" s="1">
        <v>5295431</v>
      </c>
      <c r="J64" s="1">
        <v>8010765</v>
      </c>
      <c r="K64" s="1">
        <v>1.8823480000000001E-3</v>
      </c>
      <c r="L64" s="1">
        <v>2.9398509999999998E-3</v>
      </c>
      <c r="M64" s="1">
        <v>0.35054069999999998</v>
      </c>
      <c r="N64" s="1">
        <v>0.97050460000000005</v>
      </c>
    </row>
    <row r="65" spans="1:14" x14ac:dyDescent="0.25">
      <c r="A65">
        <v>64</v>
      </c>
      <c r="B65" s="1">
        <v>5725075000000000</v>
      </c>
      <c r="C65" s="1">
        <v>12185120000</v>
      </c>
      <c r="D65" s="1">
        <v>0.17854210000000001</v>
      </c>
      <c r="E65" s="1">
        <v>15521190</v>
      </c>
      <c r="F65" s="1">
        <v>38899170</v>
      </c>
      <c r="G65" s="1">
        <v>99287500</v>
      </c>
      <c r="H65" s="1">
        <v>10283230</v>
      </c>
      <c r="I65" s="1">
        <v>5295431</v>
      </c>
      <c r="J65" s="1">
        <v>8010765</v>
      </c>
      <c r="K65" s="1">
        <v>1.782348E-3</v>
      </c>
      <c r="L65" s="1">
        <v>3.0398510000000001E-3</v>
      </c>
      <c r="M65" s="1">
        <v>0.35054069999999998</v>
      </c>
      <c r="N65" s="1">
        <v>0.97050460000000005</v>
      </c>
    </row>
    <row r="66" spans="1:14" x14ac:dyDescent="0.25">
      <c r="A66">
        <v>65</v>
      </c>
      <c r="B66" s="1">
        <v>5726736000000000</v>
      </c>
      <c r="C66" s="1">
        <v>12185120000</v>
      </c>
      <c r="D66" s="1">
        <v>0.17854210000000001</v>
      </c>
      <c r="E66" s="1">
        <v>15521190</v>
      </c>
      <c r="F66" s="1">
        <v>38899170</v>
      </c>
      <c r="G66" s="1">
        <v>99287500</v>
      </c>
      <c r="H66" s="1">
        <v>10283230</v>
      </c>
      <c r="I66" s="1">
        <v>5295431</v>
      </c>
      <c r="J66" s="1">
        <v>8010765</v>
      </c>
      <c r="K66" s="1">
        <v>1.782348E-3</v>
      </c>
      <c r="L66" s="1">
        <v>2.9398509999999998E-3</v>
      </c>
      <c r="M66" s="1">
        <v>0.3604407</v>
      </c>
      <c r="N66" s="1">
        <v>0.97050460000000005</v>
      </c>
    </row>
    <row r="67" spans="1:14" x14ac:dyDescent="0.25">
      <c r="A67">
        <v>66</v>
      </c>
      <c r="B67" s="1">
        <v>5860577000000000</v>
      </c>
      <c r="C67" s="1">
        <v>12185120000</v>
      </c>
      <c r="D67" s="1">
        <v>0.17854210000000001</v>
      </c>
      <c r="E67" s="1">
        <v>15521190</v>
      </c>
      <c r="F67" s="1">
        <v>38899170</v>
      </c>
      <c r="G67" s="1">
        <v>99287500</v>
      </c>
      <c r="H67" s="1">
        <v>10283230</v>
      </c>
      <c r="I67" s="1">
        <v>5295431</v>
      </c>
      <c r="J67" s="1">
        <v>8010765</v>
      </c>
      <c r="K67" s="1">
        <v>1.782348E-3</v>
      </c>
      <c r="L67" s="1">
        <v>2.9398509999999998E-3</v>
      </c>
      <c r="M67" s="1">
        <v>0.35054069999999998</v>
      </c>
      <c r="N67" s="1">
        <v>0.98040459999999996</v>
      </c>
    </row>
    <row r="68" spans="1:14" x14ac:dyDescent="0.25">
      <c r="A68">
        <v>67</v>
      </c>
      <c r="B68" s="1">
        <v>5418229000000000</v>
      </c>
      <c r="C68" s="1">
        <v>12177170000</v>
      </c>
      <c r="D68" s="1">
        <v>0.1385421</v>
      </c>
      <c r="E68" s="1">
        <v>24521190</v>
      </c>
      <c r="F68" s="1">
        <v>47899170</v>
      </c>
      <c r="G68" s="1">
        <v>99643750</v>
      </c>
      <c r="H68" s="1">
        <v>19283230</v>
      </c>
      <c r="I68" s="1">
        <v>6195431</v>
      </c>
      <c r="J68" s="1">
        <v>7110765</v>
      </c>
      <c r="K68" s="1">
        <v>2.782348E-3</v>
      </c>
      <c r="L68" s="1">
        <v>3.9398510000000003E-3</v>
      </c>
      <c r="M68" s="1">
        <v>0.25154070000000001</v>
      </c>
      <c r="N68" s="1">
        <v>0.98025229999999997</v>
      </c>
    </row>
    <row r="69" spans="1:14" x14ac:dyDescent="0.25">
      <c r="A69">
        <v>68</v>
      </c>
      <c r="B69" s="1">
        <v>5418252000000000</v>
      </c>
      <c r="C69" s="1">
        <v>12176320000</v>
      </c>
      <c r="D69" s="1">
        <v>0.1385421</v>
      </c>
      <c r="E69" s="1">
        <v>24521190</v>
      </c>
      <c r="F69" s="1">
        <v>47899170</v>
      </c>
      <c r="G69" s="1">
        <v>99643750</v>
      </c>
      <c r="H69" s="1">
        <v>19283230</v>
      </c>
      <c r="I69" s="1">
        <v>6195431</v>
      </c>
      <c r="J69" s="1">
        <v>7110765</v>
      </c>
      <c r="K69" s="1">
        <v>2.782348E-3</v>
      </c>
      <c r="L69" s="1">
        <v>3.9398510000000003E-3</v>
      </c>
      <c r="M69" s="1">
        <v>0.25154070000000001</v>
      </c>
      <c r="N69" s="1">
        <v>0.98025229999999997</v>
      </c>
    </row>
    <row r="70" spans="1:14" x14ac:dyDescent="0.25">
      <c r="A70">
        <v>69</v>
      </c>
      <c r="B70" s="1">
        <v>5416094000000000</v>
      </c>
      <c r="C70" s="1">
        <v>12177950000</v>
      </c>
      <c r="D70" s="1">
        <v>0.1385421</v>
      </c>
      <c r="E70" s="1">
        <v>24521190</v>
      </c>
      <c r="F70" s="1">
        <v>47899170</v>
      </c>
      <c r="G70" s="1">
        <v>99643750</v>
      </c>
      <c r="H70" s="1">
        <v>19283230</v>
      </c>
      <c r="I70" s="1">
        <v>6195431</v>
      </c>
      <c r="J70" s="1">
        <v>7110765</v>
      </c>
      <c r="K70" s="1">
        <v>2.782348E-3</v>
      </c>
      <c r="L70" s="1">
        <v>3.9398510000000003E-3</v>
      </c>
      <c r="M70" s="1">
        <v>0.25154070000000001</v>
      </c>
      <c r="N70" s="1">
        <v>0.98025229999999997</v>
      </c>
    </row>
    <row r="71" spans="1:14" x14ac:dyDescent="0.25">
      <c r="A71">
        <v>70</v>
      </c>
      <c r="B71" s="1">
        <v>5126371000000000</v>
      </c>
      <c r="C71" s="1">
        <v>12170640000</v>
      </c>
      <c r="D71" s="1">
        <v>0.1192711</v>
      </c>
      <c r="E71" s="1">
        <v>33521190</v>
      </c>
      <c r="F71" s="1">
        <v>56899170</v>
      </c>
      <c r="G71" s="1">
        <v>99821880</v>
      </c>
      <c r="H71" s="1">
        <v>28283230</v>
      </c>
      <c r="I71" s="1">
        <v>7095431</v>
      </c>
      <c r="J71" s="1">
        <v>6210765</v>
      </c>
      <c r="K71" s="1">
        <v>3.782348E-3</v>
      </c>
      <c r="L71" s="1">
        <v>4.9398510000000003E-3</v>
      </c>
      <c r="M71" s="1">
        <v>0.1525407</v>
      </c>
      <c r="N71" s="1">
        <v>0.9851261</v>
      </c>
    </row>
    <row r="72" spans="1:14" x14ac:dyDescent="0.25">
      <c r="A72">
        <v>71</v>
      </c>
      <c r="B72" s="1">
        <v>5233120000000000</v>
      </c>
      <c r="C72" s="1">
        <v>12165520000</v>
      </c>
      <c r="D72" s="1">
        <v>0.1096355</v>
      </c>
      <c r="E72" s="1">
        <v>42521190</v>
      </c>
      <c r="F72" s="1">
        <v>65899170</v>
      </c>
      <c r="G72" s="1">
        <v>99910940</v>
      </c>
      <c r="H72" s="1">
        <v>29885880</v>
      </c>
      <c r="I72" s="1">
        <v>7995431</v>
      </c>
      <c r="J72" s="1">
        <v>5310765</v>
      </c>
      <c r="K72" s="1">
        <v>4.7823479999999996E-3</v>
      </c>
      <c r="L72" s="1">
        <v>5.9398510000000003E-3</v>
      </c>
      <c r="M72" s="1">
        <v>5.3540709999999998E-2</v>
      </c>
      <c r="N72" s="1">
        <v>0.98756310000000003</v>
      </c>
    </row>
    <row r="73" spans="1:14" x14ac:dyDescent="0.25">
      <c r="A73">
        <v>72</v>
      </c>
      <c r="B73" s="1">
        <v>5144834000000000</v>
      </c>
      <c r="C73" s="1">
        <v>12320640000</v>
      </c>
      <c r="D73" s="1">
        <v>0.1192711</v>
      </c>
      <c r="E73" s="1">
        <v>33521190</v>
      </c>
      <c r="F73" s="1">
        <v>56899170</v>
      </c>
      <c r="G73" s="1">
        <v>99821880</v>
      </c>
      <c r="H73" s="1">
        <v>28283230</v>
      </c>
      <c r="I73" s="1">
        <v>7095431</v>
      </c>
      <c r="J73" s="1">
        <v>6210765</v>
      </c>
      <c r="K73" s="1">
        <v>3.782348E-3</v>
      </c>
      <c r="L73" s="1">
        <v>4.9398510000000003E-3</v>
      </c>
      <c r="M73" s="1">
        <v>0.1525407</v>
      </c>
      <c r="N73" s="1">
        <v>0.9851261</v>
      </c>
    </row>
    <row r="74" spans="1:14" x14ac:dyDescent="0.25">
      <c r="A74">
        <v>73</v>
      </c>
      <c r="B74" s="1">
        <v>5137197000000000</v>
      </c>
      <c r="C74" s="1">
        <v>12170640000</v>
      </c>
      <c r="D74" s="1">
        <v>0.12327109999999999</v>
      </c>
      <c r="E74" s="1">
        <v>33521190</v>
      </c>
      <c r="F74" s="1">
        <v>56899170</v>
      </c>
      <c r="G74" s="1">
        <v>99821880</v>
      </c>
      <c r="H74" s="1">
        <v>28283230</v>
      </c>
      <c r="I74" s="1">
        <v>7095431</v>
      </c>
      <c r="J74" s="1">
        <v>6210765</v>
      </c>
      <c r="K74" s="1">
        <v>3.782348E-3</v>
      </c>
      <c r="L74" s="1">
        <v>4.9398510000000003E-3</v>
      </c>
      <c r="M74" s="1">
        <v>0.1525407</v>
      </c>
      <c r="N74" s="1">
        <v>0.9851261</v>
      </c>
    </row>
    <row r="75" spans="1:14" x14ac:dyDescent="0.25">
      <c r="A75">
        <v>74</v>
      </c>
      <c r="B75" s="1">
        <v>5147650000000000</v>
      </c>
      <c r="C75" s="1">
        <v>12170640000</v>
      </c>
      <c r="D75" s="1">
        <v>0.1192711</v>
      </c>
      <c r="E75" s="1">
        <v>34421190</v>
      </c>
      <c r="F75" s="1">
        <v>56899170</v>
      </c>
      <c r="G75" s="1">
        <v>99821880</v>
      </c>
      <c r="H75" s="1">
        <v>28283230</v>
      </c>
      <c r="I75" s="1">
        <v>7095431</v>
      </c>
      <c r="J75" s="1">
        <v>6210765</v>
      </c>
      <c r="K75" s="1">
        <v>3.782348E-3</v>
      </c>
      <c r="L75" s="1">
        <v>4.9398510000000003E-3</v>
      </c>
      <c r="M75" s="1">
        <v>0.1525407</v>
      </c>
      <c r="N75" s="1">
        <v>0.9851261</v>
      </c>
    </row>
    <row r="76" spans="1:14" x14ac:dyDescent="0.25">
      <c r="A76">
        <v>75</v>
      </c>
      <c r="B76" s="1">
        <v>5061082000000000</v>
      </c>
      <c r="C76" s="1">
        <v>12170640000</v>
      </c>
      <c r="D76" s="1">
        <v>0.1192711</v>
      </c>
      <c r="E76" s="1">
        <v>33521190</v>
      </c>
      <c r="F76" s="1">
        <v>57799170</v>
      </c>
      <c r="G76" s="1">
        <v>99821880</v>
      </c>
      <c r="H76" s="1">
        <v>28283230</v>
      </c>
      <c r="I76" s="1">
        <v>7095431</v>
      </c>
      <c r="J76" s="1">
        <v>6210765</v>
      </c>
      <c r="K76" s="1">
        <v>3.782348E-3</v>
      </c>
      <c r="L76" s="1">
        <v>4.9398510000000003E-3</v>
      </c>
      <c r="M76" s="1">
        <v>0.1525407</v>
      </c>
      <c r="N76" s="1">
        <v>0.9851261</v>
      </c>
    </row>
    <row r="77" spans="1:14" x14ac:dyDescent="0.25">
      <c r="A77">
        <v>76</v>
      </c>
      <c r="B77" s="1">
        <v>5146350000000000</v>
      </c>
      <c r="C77" s="1">
        <v>12170640000</v>
      </c>
      <c r="D77" s="1">
        <v>0.1192711</v>
      </c>
      <c r="E77" s="1">
        <v>33521190</v>
      </c>
      <c r="F77" s="1">
        <v>56899170</v>
      </c>
      <c r="G77" s="1">
        <v>98921880</v>
      </c>
      <c r="H77" s="1">
        <v>28283230</v>
      </c>
      <c r="I77" s="1">
        <v>7095431</v>
      </c>
      <c r="J77" s="1">
        <v>6210765</v>
      </c>
      <c r="K77" s="1">
        <v>3.782348E-3</v>
      </c>
      <c r="L77" s="1">
        <v>4.9398510000000003E-3</v>
      </c>
      <c r="M77" s="1">
        <v>0.1525407</v>
      </c>
      <c r="N77" s="1">
        <v>0.9851261</v>
      </c>
    </row>
    <row r="78" spans="1:14" x14ac:dyDescent="0.25">
      <c r="A78">
        <v>77</v>
      </c>
      <c r="B78" s="1">
        <v>5127469000000000</v>
      </c>
      <c r="C78" s="1">
        <v>12170640000</v>
      </c>
      <c r="D78" s="1">
        <v>0.1192711</v>
      </c>
      <c r="E78" s="1">
        <v>33521190</v>
      </c>
      <c r="F78" s="1">
        <v>56899170</v>
      </c>
      <c r="G78" s="1">
        <v>99821880</v>
      </c>
      <c r="H78" s="1">
        <v>29183230</v>
      </c>
      <c r="I78" s="1">
        <v>7095431</v>
      </c>
      <c r="J78" s="1">
        <v>6210765</v>
      </c>
      <c r="K78" s="1">
        <v>3.782348E-3</v>
      </c>
      <c r="L78" s="1">
        <v>4.9398510000000003E-3</v>
      </c>
      <c r="M78" s="1">
        <v>0.1525407</v>
      </c>
      <c r="N78" s="1">
        <v>0.9851261</v>
      </c>
    </row>
    <row r="79" spans="1:14" x14ac:dyDescent="0.25">
      <c r="A79">
        <v>78</v>
      </c>
      <c r="B79" s="1">
        <v>5134821000000000</v>
      </c>
      <c r="C79" s="1">
        <v>12170640000</v>
      </c>
      <c r="D79" s="1">
        <v>0.1192711</v>
      </c>
      <c r="E79" s="1">
        <v>33521190</v>
      </c>
      <c r="F79" s="1">
        <v>56899170</v>
      </c>
      <c r="G79" s="1">
        <v>99821880</v>
      </c>
      <c r="H79" s="1">
        <v>28283230</v>
      </c>
      <c r="I79" s="1">
        <v>7185431</v>
      </c>
      <c r="J79" s="1">
        <v>6210765</v>
      </c>
      <c r="K79" s="1">
        <v>3.782348E-3</v>
      </c>
      <c r="L79" s="1">
        <v>4.9398510000000003E-3</v>
      </c>
      <c r="M79" s="1">
        <v>0.1525407</v>
      </c>
      <c r="N79" s="1">
        <v>0.9851261</v>
      </c>
    </row>
    <row r="80" spans="1:14" x14ac:dyDescent="0.25">
      <c r="A80">
        <v>79</v>
      </c>
      <c r="B80" s="1">
        <v>5146663000000000</v>
      </c>
      <c r="C80" s="1">
        <v>12170640000</v>
      </c>
      <c r="D80" s="1">
        <v>0.1192711</v>
      </c>
      <c r="E80" s="1">
        <v>33521190</v>
      </c>
      <c r="F80" s="1">
        <v>56899170</v>
      </c>
      <c r="G80" s="1">
        <v>99821880</v>
      </c>
      <c r="H80" s="1">
        <v>28283230</v>
      </c>
      <c r="I80" s="1">
        <v>7095431</v>
      </c>
      <c r="J80" s="1">
        <v>6300765</v>
      </c>
      <c r="K80" s="1">
        <v>3.782348E-3</v>
      </c>
      <c r="L80" s="1">
        <v>4.9398510000000003E-3</v>
      </c>
      <c r="M80" s="1">
        <v>0.1525407</v>
      </c>
      <c r="N80" s="1">
        <v>0.9851261</v>
      </c>
    </row>
    <row r="81" spans="1:14" x14ac:dyDescent="0.25">
      <c r="A81">
        <v>80</v>
      </c>
      <c r="B81" s="1">
        <v>5189289000000000</v>
      </c>
      <c r="C81" s="1">
        <v>12170640000</v>
      </c>
      <c r="D81" s="1">
        <v>0.1192711</v>
      </c>
      <c r="E81" s="1">
        <v>33521190</v>
      </c>
      <c r="F81" s="1">
        <v>56899170</v>
      </c>
      <c r="G81" s="1">
        <v>99821880</v>
      </c>
      <c r="H81" s="1">
        <v>28283230</v>
      </c>
      <c r="I81" s="1">
        <v>7095431</v>
      </c>
      <c r="J81" s="1">
        <v>6210765</v>
      </c>
      <c r="K81" s="1">
        <v>3.8823479999999999E-3</v>
      </c>
      <c r="L81" s="1">
        <v>4.9398510000000003E-3</v>
      </c>
      <c r="M81" s="1">
        <v>0.1525407</v>
      </c>
      <c r="N81" s="1">
        <v>0.9851261</v>
      </c>
    </row>
    <row r="82" spans="1:14" x14ac:dyDescent="0.25">
      <c r="A82">
        <v>81</v>
      </c>
      <c r="B82" s="1">
        <v>5135466000000000</v>
      </c>
      <c r="C82" s="1">
        <v>12170640000</v>
      </c>
      <c r="D82" s="1">
        <v>0.1192711</v>
      </c>
      <c r="E82" s="1">
        <v>33521190</v>
      </c>
      <c r="F82" s="1">
        <v>56899170</v>
      </c>
      <c r="G82" s="1">
        <v>99821880</v>
      </c>
      <c r="H82" s="1">
        <v>28283230</v>
      </c>
      <c r="I82" s="1">
        <v>7095431</v>
      </c>
      <c r="J82" s="1">
        <v>6210765</v>
      </c>
      <c r="K82" s="1">
        <v>3.782348E-3</v>
      </c>
      <c r="L82" s="1">
        <v>5.0398509999999997E-3</v>
      </c>
      <c r="M82" s="1">
        <v>0.1525407</v>
      </c>
      <c r="N82" s="1">
        <v>0.9851261</v>
      </c>
    </row>
    <row r="83" spans="1:14" x14ac:dyDescent="0.25">
      <c r="A83">
        <v>82</v>
      </c>
      <c r="B83" s="1">
        <v>5124154000000000</v>
      </c>
      <c r="C83" s="1">
        <v>12170640000</v>
      </c>
      <c r="D83" s="1">
        <v>0.1192711</v>
      </c>
      <c r="E83" s="1">
        <v>33521190</v>
      </c>
      <c r="F83" s="1">
        <v>56899170</v>
      </c>
      <c r="G83" s="1">
        <v>99821880</v>
      </c>
      <c r="H83" s="1">
        <v>28283230</v>
      </c>
      <c r="I83" s="1">
        <v>7095431</v>
      </c>
      <c r="J83" s="1">
        <v>6210765</v>
      </c>
      <c r="K83" s="1">
        <v>3.782348E-3</v>
      </c>
      <c r="L83" s="1">
        <v>4.9398510000000003E-3</v>
      </c>
      <c r="M83" s="1">
        <v>0.16244069999999999</v>
      </c>
      <c r="N83" s="1">
        <v>0.9851261</v>
      </c>
    </row>
    <row r="84" spans="1:14" x14ac:dyDescent="0.25">
      <c r="A84">
        <v>83</v>
      </c>
      <c r="B84" s="1">
        <v>5621748000000000</v>
      </c>
      <c r="C84" s="1">
        <v>12170640000</v>
      </c>
      <c r="D84" s="1">
        <v>0.1192711</v>
      </c>
      <c r="E84" s="1">
        <v>33521190</v>
      </c>
      <c r="F84" s="1">
        <v>56899170</v>
      </c>
      <c r="G84" s="1">
        <v>99821880</v>
      </c>
      <c r="H84" s="1">
        <v>28283230</v>
      </c>
      <c r="I84" s="1">
        <v>7095431</v>
      </c>
      <c r="J84" s="1">
        <v>6210765</v>
      </c>
      <c r="K84" s="1">
        <v>3.782348E-3</v>
      </c>
      <c r="L84" s="1">
        <v>4.9398510000000003E-3</v>
      </c>
      <c r="M84" s="1">
        <v>0.1525407</v>
      </c>
      <c r="N84" s="1">
        <v>0.97522609999999998</v>
      </c>
    </row>
    <row r="85" spans="1:14" x14ac:dyDescent="0.25">
      <c r="A85">
        <v>84</v>
      </c>
      <c r="B85" s="1">
        <v>3979163000000000</v>
      </c>
      <c r="C85" s="1">
        <v>12126870000</v>
      </c>
      <c r="D85" s="1">
        <v>0.1096355</v>
      </c>
      <c r="E85" s="1">
        <v>24521190</v>
      </c>
      <c r="F85" s="1">
        <v>65899170</v>
      </c>
      <c r="G85" s="1">
        <v>90821880</v>
      </c>
      <c r="H85" s="1">
        <v>37283230</v>
      </c>
      <c r="I85" s="1">
        <v>7995431</v>
      </c>
      <c r="J85" s="1">
        <v>5310765</v>
      </c>
      <c r="K85" s="1">
        <v>2.782348E-3</v>
      </c>
      <c r="L85" s="1">
        <v>5.9398510000000003E-3</v>
      </c>
      <c r="M85" s="1">
        <v>5.3540709999999998E-2</v>
      </c>
      <c r="N85" s="1">
        <v>0.98756310000000003</v>
      </c>
    </row>
    <row r="86" spans="1:14" x14ac:dyDescent="0.25">
      <c r="A86">
        <v>85</v>
      </c>
      <c r="B86" s="1">
        <v>3978058000000000</v>
      </c>
      <c r="C86" s="1">
        <v>12122430000</v>
      </c>
      <c r="D86" s="1">
        <v>0.1096355</v>
      </c>
      <c r="E86" s="1">
        <v>24521190</v>
      </c>
      <c r="F86" s="1">
        <v>65899170</v>
      </c>
      <c r="G86" s="1">
        <v>90821880</v>
      </c>
      <c r="H86" s="1">
        <v>37283230</v>
      </c>
      <c r="I86" s="1">
        <v>7995431</v>
      </c>
      <c r="J86" s="1">
        <v>5310765</v>
      </c>
      <c r="K86" s="1">
        <v>2.782348E-3</v>
      </c>
      <c r="L86" s="1">
        <v>5.9398510000000003E-3</v>
      </c>
      <c r="M86" s="1">
        <v>5.3540709999999998E-2</v>
      </c>
      <c r="N86" s="1">
        <v>0.98756310000000003</v>
      </c>
    </row>
    <row r="87" spans="1:14" x14ac:dyDescent="0.25">
      <c r="A87">
        <v>86</v>
      </c>
      <c r="B87" s="1">
        <v>3980559000000000</v>
      </c>
      <c r="C87" s="1">
        <v>12130900000</v>
      </c>
      <c r="D87" s="1">
        <v>0.1096355</v>
      </c>
      <c r="E87" s="1">
        <v>24521190</v>
      </c>
      <c r="F87" s="1">
        <v>65899170</v>
      </c>
      <c r="G87" s="1">
        <v>90821880</v>
      </c>
      <c r="H87" s="1">
        <v>37283230</v>
      </c>
      <c r="I87" s="1">
        <v>7995431</v>
      </c>
      <c r="J87" s="1">
        <v>5310765</v>
      </c>
      <c r="K87" s="1">
        <v>2.782348E-3</v>
      </c>
      <c r="L87" s="1">
        <v>5.9398510000000003E-3</v>
      </c>
      <c r="M87" s="1">
        <v>5.3540709999999998E-2</v>
      </c>
      <c r="N87" s="1">
        <v>0.98756310000000003</v>
      </c>
    </row>
    <row r="88" spans="1:14" x14ac:dyDescent="0.25">
      <c r="A88">
        <v>87</v>
      </c>
      <c r="B88" s="1">
        <v>3800811000000000</v>
      </c>
      <c r="C88" s="1">
        <v>12075340000</v>
      </c>
      <c r="D88" s="1">
        <v>0.1048178</v>
      </c>
      <c r="E88" s="1">
        <v>15521190</v>
      </c>
      <c r="F88" s="1">
        <v>74899170</v>
      </c>
      <c r="G88" s="1">
        <v>81821880</v>
      </c>
      <c r="H88" s="1">
        <v>30223210</v>
      </c>
      <c r="I88" s="1">
        <v>8540472</v>
      </c>
      <c r="J88" s="1">
        <v>4410765</v>
      </c>
      <c r="K88" s="1">
        <v>1.782348E-3</v>
      </c>
      <c r="L88" s="1">
        <v>5.7982199999999998E-3</v>
      </c>
      <c r="M88" s="1">
        <v>4.917316E-2</v>
      </c>
      <c r="N88" s="1">
        <v>0.98878149999999998</v>
      </c>
    </row>
    <row r="89" spans="1:14" x14ac:dyDescent="0.25">
      <c r="A89">
        <v>88</v>
      </c>
      <c r="B89" s="1">
        <v>4465448000000000</v>
      </c>
      <c r="C89" s="1">
        <v>12029180000</v>
      </c>
      <c r="D89" s="1">
        <v>0.1024089</v>
      </c>
      <c r="E89" s="1">
        <v>12760600</v>
      </c>
      <c r="F89" s="1">
        <v>70744410</v>
      </c>
      <c r="G89" s="1">
        <v>72821880</v>
      </c>
      <c r="H89" s="1">
        <v>39223210</v>
      </c>
      <c r="I89" s="1">
        <v>7865208</v>
      </c>
      <c r="J89" s="1">
        <v>3510765</v>
      </c>
      <c r="K89" s="1">
        <v>7.8234789999999995E-4</v>
      </c>
      <c r="L89" s="1">
        <v>5.9927740000000002E-3</v>
      </c>
      <c r="M89" s="1">
        <v>0.1134247</v>
      </c>
      <c r="N89" s="1">
        <v>0.98939080000000001</v>
      </c>
    </row>
    <row r="90" spans="1:14" x14ac:dyDescent="0.25">
      <c r="A90">
        <v>89</v>
      </c>
      <c r="B90" s="1">
        <v>3868715000000000</v>
      </c>
      <c r="C90" s="1">
        <v>12225340000</v>
      </c>
      <c r="D90" s="1">
        <v>0.1048178</v>
      </c>
      <c r="E90" s="1">
        <v>15521190</v>
      </c>
      <c r="F90" s="1">
        <v>74899170</v>
      </c>
      <c r="G90" s="1">
        <v>81821880</v>
      </c>
      <c r="H90" s="1">
        <v>30223210</v>
      </c>
      <c r="I90" s="1">
        <v>8540472</v>
      </c>
      <c r="J90" s="1">
        <v>4410765</v>
      </c>
      <c r="K90" s="1">
        <v>1.782348E-3</v>
      </c>
      <c r="L90" s="1">
        <v>5.7982199999999998E-3</v>
      </c>
      <c r="M90" s="1">
        <v>4.917316E-2</v>
      </c>
      <c r="N90" s="1">
        <v>0.98878149999999998</v>
      </c>
    </row>
    <row r="91" spans="1:14" x14ac:dyDescent="0.25">
      <c r="A91">
        <v>90</v>
      </c>
      <c r="B91" s="1">
        <v>3788727000000000</v>
      </c>
      <c r="C91" s="1">
        <v>12075340000</v>
      </c>
      <c r="D91" s="1">
        <v>0.10881780000000001</v>
      </c>
      <c r="E91" s="1">
        <v>15521190</v>
      </c>
      <c r="F91" s="1">
        <v>74899170</v>
      </c>
      <c r="G91" s="1">
        <v>81821880</v>
      </c>
      <c r="H91" s="1">
        <v>30223210</v>
      </c>
      <c r="I91" s="1">
        <v>8540472</v>
      </c>
      <c r="J91" s="1">
        <v>4410765</v>
      </c>
      <c r="K91" s="1">
        <v>1.782348E-3</v>
      </c>
      <c r="L91" s="1">
        <v>5.7982199999999998E-3</v>
      </c>
      <c r="M91" s="1">
        <v>4.917316E-2</v>
      </c>
      <c r="N91" s="1">
        <v>0.98878149999999998</v>
      </c>
    </row>
    <row r="92" spans="1:14" x14ac:dyDescent="0.25">
      <c r="A92">
        <v>91</v>
      </c>
      <c r="B92" s="1">
        <v>3852108000000000</v>
      </c>
      <c r="C92" s="1">
        <v>12075340000</v>
      </c>
      <c r="D92" s="1">
        <v>0.1048178</v>
      </c>
      <c r="E92" s="1">
        <v>16421190</v>
      </c>
      <c r="F92" s="1">
        <v>74899170</v>
      </c>
      <c r="G92" s="1">
        <v>81821880</v>
      </c>
      <c r="H92" s="1">
        <v>30223210</v>
      </c>
      <c r="I92" s="1">
        <v>8540472</v>
      </c>
      <c r="J92" s="1">
        <v>4410765</v>
      </c>
      <c r="K92" s="1">
        <v>1.782348E-3</v>
      </c>
      <c r="L92" s="1">
        <v>5.7982199999999998E-3</v>
      </c>
      <c r="M92" s="1">
        <v>4.917316E-2</v>
      </c>
      <c r="N92" s="1">
        <v>0.98878149999999998</v>
      </c>
    </row>
    <row r="93" spans="1:14" x14ac:dyDescent="0.25">
      <c r="A93">
        <v>92</v>
      </c>
      <c r="B93" s="1">
        <v>3821655000000000</v>
      </c>
      <c r="C93" s="1">
        <v>12075340000</v>
      </c>
      <c r="D93" s="1">
        <v>0.1048178</v>
      </c>
      <c r="E93" s="1">
        <v>15521190</v>
      </c>
      <c r="F93" s="1">
        <v>75799170</v>
      </c>
      <c r="G93" s="1">
        <v>81821880</v>
      </c>
      <c r="H93" s="1">
        <v>30223210</v>
      </c>
      <c r="I93" s="1">
        <v>8540472</v>
      </c>
      <c r="J93" s="1">
        <v>4410765</v>
      </c>
      <c r="K93" s="1">
        <v>1.782348E-3</v>
      </c>
      <c r="L93" s="1">
        <v>5.7982199999999998E-3</v>
      </c>
      <c r="M93" s="1">
        <v>4.917316E-2</v>
      </c>
      <c r="N93" s="1">
        <v>0.98878149999999998</v>
      </c>
    </row>
    <row r="94" spans="1:14" x14ac:dyDescent="0.25">
      <c r="A94">
        <v>93</v>
      </c>
      <c r="B94" s="1">
        <v>3800848000000000</v>
      </c>
      <c r="C94" s="1">
        <v>12075340000</v>
      </c>
      <c r="D94" s="1">
        <v>0.1048178</v>
      </c>
      <c r="E94" s="1">
        <v>15521190</v>
      </c>
      <c r="F94" s="1">
        <v>74899170</v>
      </c>
      <c r="G94" s="1">
        <v>82721880</v>
      </c>
      <c r="H94" s="1">
        <v>30223210</v>
      </c>
      <c r="I94" s="1">
        <v>8540472</v>
      </c>
      <c r="J94" s="1">
        <v>4410765</v>
      </c>
      <c r="K94" s="1">
        <v>1.782348E-3</v>
      </c>
      <c r="L94" s="1">
        <v>5.7982199999999998E-3</v>
      </c>
      <c r="M94" s="1">
        <v>4.917316E-2</v>
      </c>
      <c r="N94" s="1">
        <v>0.98878149999999998</v>
      </c>
    </row>
    <row r="95" spans="1:14" x14ac:dyDescent="0.25">
      <c r="A95">
        <v>94</v>
      </c>
      <c r="B95" s="1">
        <v>3781289000000000</v>
      </c>
      <c r="C95" s="1">
        <v>12075340000</v>
      </c>
      <c r="D95" s="1">
        <v>0.1048178</v>
      </c>
      <c r="E95" s="1">
        <v>15521190</v>
      </c>
      <c r="F95" s="1">
        <v>74899170</v>
      </c>
      <c r="G95" s="1">
        <v>81821880</v>
      </c>
      <c r="H95" s="1">
        <v>31123210</v>
      </c>
      <c r="I95" s="1">
        <v>8540472</v>
      </c>
      <c r="J95" s="1">
        <v>4410765</v>
      </c>
      <c r="K95" s="1">
        <v>1.782348E-3</v>
      </c>
      <c r="L95" s="1">
        <v>5.7982199999999998E-3</v>
      </c>
      <c r="M95" s="1">
        <v>4.917316E-2</v>
      </c>
      <c r="N95" s="1">
        <v>0.98878149999999998</v>
      </c>
    </row>
    <row r="96" spans="1:14" x14ac:dyDescent="0.25">
      <c r="A96">
        <v>95</v>
      </c>
      <c r="B96" s="1">
        <v>3790814000000000</v>
      </c>
      <c r="C96" s="1">
        <v>12075340000</v>
      </c>
      <c r="D96" s="1">
        <v>0.1048178</v>
      </c>
      <c r="E96" s="1">
        <v>15521190</v>
      </c>
      <c r="F96" s="1">
        <v>74899170</v>
      </c>
      <c r="G96" s="1">
        <v>81821880</v>
      </c>
      <c r="H96" s="1">
        <v>30223210</v>
      </c>
      <c r="I96" s="1">
        <v>8630472</v>
      </c>
      <c r="J96" s="1">
        <v>4410765</v>
      </c>
      <c r="K96" s="1">
        <v>1.782348E-3</v>
      </c>
      <c r="L96" s="1">
        <v>5.7982199999999998E-3</v>
      </c>
      <c r="M96" s="1">
        <v>4.917316E-2</v>
      </c>
      <c r="N96" s="1">
        <v>0.98878149999999998</v>
      </c>
    </row>
    <row r="97" spans="1:14" x14ac:dyDescent="0.25">
      <c r="A97">
        <v>96</v>
      </c>
      <c r="B97" s="1">
        <v>3806483000000000</v>
      </c>
      <c r="C97" s="1">
        <v>12075340000</v>
      </c>
      <c r="D97" s="1">
        <v>0.1048178</v>
      </c>
      <c r="E97" s="1">
        <v>15521190</v>
      </c>
      <c r="F97" s="1">
        <v>74899170</v>
      </c>
      <c r="G97" s="1">
        <v>81821880</v>
      </c>
      <c r="H97" s="1">
        <v>30223210</v>
      </c>
      <c r="I97" s="1">
        <v>8540472</v>
      </c>
      <c r="J97" s="1">
        <v>4500765</v>
      </c>
      <c r="K97" s="1">
        <v>1.782348E-3</v>
      </c>
      <c r="L97" s="1">
        <v>5.7982199999999998E-3</v>
      </c>
      <c r="M97" s="1">
        <v>4.917316E-2</v>
      </c>
      <c r="N97" s="1">
        <v>0.98878149999999998</v>
      </c>
    </row>
    <row r="98" spans="1:14" x14ac:dyDescent="0.25">
      <c r="A98">
        <v>97</v>
      </c>
      <c r="B98" s="1">
        <v>3765635000000000</v>
      </c>
      <c r="C98" s="1">
        <v>12075340000</v>
      </c>
      <c r="D98" s="1">
        <v>0.1048178</v>
      </c>
      <c r="E98" s="1">
        <v>15521190</v>
      </c>
      <c r="F98" s="1">
        <v>74899170</v>
      </c>
      <c r="G98" s="1">
        <v>81821880</v>
      </c>
      <c r="H98" s="1">
        <v>30223210</v>
      </c>
      <c r="I98" s="1">
        <v>8540472</v>
      </c>
      <c r="J98" s="1">
        <v>4410765</v>
      </c>
      <c r="K98" s="1">
        <v>1.8823480000000001E-3</v>
      </c>
      <c r="L98" s="1">
        <v>5.7982199999999998E-3</v>
      </c>
      <c r="M98" s="1">
        <v>4.917316E-2</v>
      </c>
      <c r="N98" s="1">
        <v>0.98878149999999998</v>
      </c>
    </row>
    <row r="99" spans="1:14" x14ac:dyDescent="0.25">
      <c r="A99">
        <v>98</v>
      </c>
      <c r="B99" s="1">
        <v>3725109000000000</v>
      </c>
      <c r="C99" s="1">
        <v>12075340000</v>
      </c>
      <c r="D99" s="1">
        <v>0.1048178</v>
      </c>
      <c r="E99" s="1">
        <v>15521190</v>
      </c>
      <c r="F99" s="1">
        <v>74899170</v>
      </c>
      <c r="G99" s="1">
        <v>81821880</v>
      </c>
      <c r="H99" s="1">
        <v>30223210</v>
      </c>
      <c r="I99" s="1">
        <v>8540472</v>
      </c>
      <c r="J99" s="1">
        <v>4410765</v>
      </c>
      <c r="K99" s="1">
        <v>1.782348E-3</v>
      </c>
      <c r="L99" s="1">
        <v>5.89822E-3</v>
      </c>
      <c r="M99" s="1">
        <v>4.917316E-2</v>
      </c>
      <c r="N99" s="1">
        <v>0.98878149999999998</v>
      </c>
    </row>
    <row r="100" spans="1:14" x14ac:dyDescent="0.25">
      <c r="A100">
        <v>99</v>
      </c>
      <c r="B100" s="1">
        <v>3792599000000000</v>
      </c>
      <c r="C100" s="1">
        <v>12075340000</v>
      </c>
      <c r="D100" s="1">
        <v>0.1048178</v>
      </c>
      <c r="E100" s="1">
        <v>15521190</v>
      </c>
      <c r="F100" s="1">
        <v>74899170</v>
      </c>
      <c r="G100" s="1">
        <v>81821880</v>
      </c>
      <c r="H100" s="1">
        <v>30223210</v>
      </c>
      <c r="I100" s="1">
        <v>8540472</v>
      </c>
      <c r="J100" s="1">
        <v>4410765</v>
      </c>
      <c r="K100" s="1">
        <v>1.782348E-3</v>
      </c>
      <c r="L100" s="1">
        <v>5.7982199999999998E-3</v>
      </c>
      <c r="M100" s="1">
        <v>5.907316E-2</v>
      </c>
      <c r="N100" s="1">
        <v>0.98878149999999998</v>
      </c>
    </row>
    <row r="101" spans="1:14" x14ac:dyDescent="0.25">
      <c r="A101">
        <v>100</v>
      </c>
      <c r="B101" s="1">
        <v>4936609000000000</v>
      </c>
      <c r="C101" s="1">
        <v>12075340000</v>
      </c>
      <c r="D101" s="1">
        <v>0.1048178</v>
      </c>
      <c r="E101" s="1">
        <v>15521190</v>
      </c>
      <c r="F101" s="1">
        <v>74899170</v>
      </c>
      <c r="G101" s="1">
        <v>81821880</v>
      </c>
      <c r="H101" s="1">
        <v>30223210</v>
      </c>
      <c r="I101" s="1">
        <v>8540472</v>
      </c>
      <c r="J101" s="1">
        <v>4410765</v>
      </c>
      <c r="K101" s="1">
        <v>1.782348E-3</v>
      </c>
      <c r="L101" s="1">
        <v>5.7982199999999998E-3</v>
      </c>
      <c r="M101" s="1">
        <v>4.917316E-2</v>
      </c>
      <c r="N101" s="1">
        <v>0.97888149999999996</v>
      </c>
    </row>
    <row r="102" spans="1:14" x14ac:dyDescent="0.25">
      <c r="A102">
        <v>101</v>
      </c>
      <c r="B102" s="1">
        <v>4464814000000000</v>
      </c>
      <c r="C102" s="1">
        <v>12168340000</v>
      </c>
      <c r="D102" s="1">
        <v>0.1024089</v>
      </c>
      <c r="E102" s="1">
        <v>24521190</v>
      </c>
      <c r="F102" s="1">
        <v>65899170</v>
      </c>
      <c r="G102" s="1">
        <v>90821880</v>
      </c>
      <c r="H102" s="1">
        <v>39223210</v>
      </c>
      <c r="I102" s="1">
        <v>7640472</v>
      </c>
      <c r="J102" s="1">
        <v>3523039</v>
      </c>
      <c r="K102" s="1">
        <v>8.9443849999999996E-4</v>
      </c>
      <c r="L102" s="1">
        <v>6.7982199999999998E-3</v>
      </c>
      <c r="M102" s="1">
        <v>0.1481732</v>
      </c>
      <c r="N102" s="1">
        <v>0.98939080000000001</v>
      </c>
    </row>
    <row r="103" spans="1:14" x14ac:dyDescent="0.25">
      <c r="A103">
        <v>102</v>
      </c>
      <c r="B103" s="1">
        <v>4468049000000000</v>
      </c>
      <c r="C103" s="1">
        <v>12177410000</v>
      </c>
      <c r="D103" s="1">
        <v>0.1024089</v>
      </c>
      <c r="E103" s="1">
        <v>24521190</v>
      </c>
      <c r="F103" s="1">
        <v>65899170</v>
      </c>
      <c r="G103" s="1">
        <v>90821880</v>
      </c>
      <c r="H103" s="1">
        <v>39223210</v>
      </c>
      <c r="I103" s="1">
        <v>7640472</v>
      </c>
      <c r="J103" s="1">
        <v>3522679</v>
      </c>
      <c r="K103" s="1">
        <v>8.9667649999999996E-4</v>
      </c>
      <c r="L103" s="1">
        <v>6.7982199999999998E-3</v>
      </c>
      <c r="M103" s="1">
        <v>0.1481732</v>
      </c>
      <c r="N103" s="1">
        <v>0.98939080000000001</v>
      </c>
    </row>
    <row r="104" spans="1:14" x14ac:dyDescent="0.25">
      <c r="A104">
        <v>103</v>
      </c>
      <c r="B104" s="1">
        <v>4484474000000000</v>
      </c>
      <c r="C104" s="1">
        <v>12160060000</v>
      </c>
      <c r="D104" s="1">
        <v>0.1024089</v>
      </c>
      <c r="E104" s="1">
        <v>24521190</v>
      </c>
      <c r="F104" s="1">
        <v>65899170</v>
      </c>
      <c r="G104" s="1">
        <v>90821880</v>
      </c>
      <c r="H104" s="1">
        <v>39223210</v>
      </c>
      <c r="I104" s="1">
        <v>7640472</v>
      </c>
      <c r="J104" s="1">
        <v>3523451</v>
      </c>
      <c r="K104" s="1">
        <v>8.9260550000000004E-4</v>
      </c>
      <c r="L104" s="1">
        <v>6.7982199999999998E-3</v>
      </c>
      <c r="M104" s="1">
        <v>0.1481732</v>
      </c>
      <c r="N104" s="1">
        <v>0.98939080000000001</v>
      </c>
    </row>
    <row r="105" spans="1:14" x14ac:dyDescent="0.25">
      <c r="A105">
        <v>104</v>
      </c>
      <c r="B105" s="1">
        <v>3800533000000000</v>
      </c>
      <c r="C105" s="1">
        <v>12225340000</v>
      </c>
      <c r="D105" s="1">
        <v>0.1048178</v>
      </c>
      <c r="E105" s="1">
        <v>15521190</v>
      </c>
      <c r="F105" s="1">
        <v>74899170</v>
      </c>
      <c r="G105" s="1">
        <v>81821880</v>
      </c>
      <c r="H105" s="1">
        <v>30223210</v>
      </c>
      <c r="I105" s="1">
        <v>8540472</v>
      </c>
      <c r="J105" s="1">
        <v>4410765</v>
      </c>
      <c r="K105" s="1">
        <v>1.782348E-3</v>
      </c>
      <c r="L105" s="1">
        <v>5.89822E-3</v>
      </c>
      <c r="M105" s="1">
        <v>4.917316E-2</v>
      </c>
      <c r="N105" s="1">
        <v>0.98878149999999998</v>
      </c>
    </row>
    <row r="106" spans="1:14" x14ac:dyDescent="0.25">
      <c r="A106">
        <v>105</v>
      </c>
      <c r="B106" s="1">
        <v>3730960000000000</v>
      </c>
      <c r="C106" s="1">
        <v>12075340000</v>
      </c>
      <c r="D106" s="1">
        <v>0.10881780000000001</v>
      </c>
      <c r="E106" s="1">
        <v>15521190</v>
      </c>
      <c r="F106" s="1">
        <v>74899170</v>
      </c>
      <c r="G106" s="1">
        <v>81821880</v>
      </c>
      <c r="H106" s="1">
        <v>30223210</v>
      </c>
      <c r="I106" s="1">
        <v>8540472</v>
      </c>
      <c r="J106" s="1">
        <v>4410765</v>
      </c>
      <c r="K106" s="1">
        <v>1.782348E-3</v>
      </c>
      <c r="L106" s="1">
        <v>5.89822E-3</v>
      </c>
      <c r="M106" s="1">
        <v>4.917316E-2</v>
      </c>
      <c r="N106" s="1">
        <v>0.98878149999999998</v>
      </c>
    </row>
    <row r="107" spans="1:14" x14ac:dyDescent="0.25">
      <c r="A107">
        <v>106</v>
      </c>
      <c r="B107" s="1">
        <v>3795210000000000</v>
      </c>
      <c r="C107" s="1">
        <v>12075340000</v>
      </c>
      <c r="D107" s="1">
        <v>0.1048178</v>
      </c>
      <c r="E107" s="1">
        <v>16421190</v>
      </c>
      <c r="F107" s="1">
        <v>74899170</v>
      </c>
      <c r="G107" s="1">
        <v>81821880</v>
      </c>
      <c r="H107" s="1">
        <v>30223210</v>
      </c>
      <c r="I107" s="1">
        <v>8540472</v>
      </c>
      <c r="J107" s="1">
        <v>4410765</v>
      </c>
      <c r="K107" s="1">
        <v>1.782348E-3</v>
      </c>
      <c r="L107" s="1">
        <v>5.89822E-3</v>
      </c>
      <c r="M107" s="1">
        <v>4.917316E-2</v>
      </c>
      <c r="N107" s="1">
        <v>0.98878149999999998</v>
      </c>
    </row>
    <row r="108" spans="1:14" x14ac:dyDescent="0.25">
      <c r="A108">
        <v>107</v>
      </c>
      <c r="B108" s="1">
        <v>3755216000000000</v>
      </c>
      <c r="C108" s="1">
        <v>12075340000</v>
      </c>
      <c r="D108" s="1">
        <v>0.1048178</v>
      </c>
      <c r="E108" s="1">
        <v>15521190</v>
      </c>
      <c r="F108" s="1">
        <v>75799170</v>
      </c>
      <c r="G108" s="1">
        <v>81821880</v>
      </c>
      <c r="H108" s="1">
        <v>30223210</v>
      </c>
      <c r="I108" s="1">
        <v>8540472</v>
      </c>
      <c r="J108" s="1">
        <v>4410765</v>
      </c>
      <c r="K108" s="1">
        <v>1.782348E-3</v>
      </c>
      <c r="L108" s="1">
        <v>5.89822E-3</v>
      </c>
      <c r="M108" s="1">
        <v>4.917316E-2</v>
      </c>
      <c r="N108" s="1">
        <v>0.98878149999999998</v>
      </c>
    </row>
    <row r="109" spans="1:14" x14ac:dyDescent="0.25">
      <c r="A109">
        <v>108</v>
      </c>
      <c r="B109" s="1">
        <v>3725572000000000</v>
      </c>
      <c r="C109" s="1">
        <v>12075340000</v>
      </c>
      <c r="D109" s="1">
        <v>0.1048178</v>
      </c>
      <c r="E109" s="1">
        <v>15521190</v>
      </c>
      <c r="F109" s="1">
        <v>74899170</v>
      </c>
      <c r="G109" s="1">
        <v>82721880</v>
      </c>
      <c r="H109" s="1">
        <v>30223210</v>
      </c>
      <c r="I109" s="1">
        <v>8540472</v>
      </c>
      <c r="J109" s="1">
        <v>4410765</v>
      </c>
      <c r="K109" s="1">
        <v>1.782348E-3</v>
      </c>
      <c r="L109" s="1">
        <v>5.89822E-3</v>
      </c>
      <c r="M109" s="1">
        <v>4.917316E-2</v>
      </c>
      <c r="N109" s="1">
        <v>0.98878149999999998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14"/>
  <sheetViews>
    <sheetView workbookViewId="0">
      <selection activeCell="C16" sqref="C16"/>
    </sheetView>
  </sheetViews>
  <sheetFormatPr defaultRowHeight="15" x14ac:dyDescent="0.25"/>
  <sheetData>
    <row r="1" spans="1:4" x14ac:dyDescent="0.25">
      <c r="A1" t="s">
        <v>28</v>
      </c>
      <c r="B1" t="s">
        <v>27</v>
      </c>
      <c r="C1" t="s">
        <v>28</v>
      </c>
      <c r="D1" t="s">
        <v>9</v>
      </c>
    </row>
    <row r="2" spans="1:4" x14ac:dyDescent="0.25">
      <c r="A2">
        <v>0</v>
      </c>
      <c r="B2">
        <v>2.56</v>
      </c>
      <c r="C2">
        <v>0</v>
      </c>
      <c r="D2">
        <v>0</v>
      </c>
    </row>
    <row r="3" spans="1:4" x14ac:dyDescent="0.25">
      <c r="A3">
        <v>0.1</v>
      </c>
      <c r="B3">
        <v>3.64</v>
      </c>
      <c r="C3">
        <v>0.1</v>
      </c>
      <c r="D3">
        <v>0.1</v>
      </c>
    </row>
    <row r="4" spans="1:4" x14ac:dyDescent="0.25">
      <c r="A4">
        <v>0.28000000000000003</v>
      </c>
      <c r="B4">
        <v>4.49</v>
      </c>
      <c r="C4">
        <v>0.28000000000000003</v>
      </c>
      <c r="D4">
        <v>0.28999999999999998</v>
      </c>
    </row>
    <row r="5" spans="1:4" x14ac:dyDescent="0.25">
      <c r="A5">
        <v>0.57999999999999996</v>
      </c>
      <c r="B5">
        <v>4.97</v>
      </c>
      <c r="C5">
        <v>0.57999999999999996</v>
      </c>
      <c r="D5">
        <v>0.61</v>
      </c>
    </row>
    <row r="6" spans="1:4" x14ac:dyDescent="0.25">
      <c r="A6">
        <v>1</v>
      </c>
      <c r="B6">
        <v>5.12</v>
      </c>
      <c r="C6">
        <v>1</v>
      </c>
      <c r="D6">
        <v>1</v>
      </c>
    </row>
    <row r="7" spans="1:4" x14ac:dyDescent="0.25">
      <c r="A7">
        <v>1.76</v>
      </c>
      <c r="B7">
        <v>4.9000000000000004</v>
      </c>
      <c r="C7">
        <v>1.76</v>
      </c>
      <c r="D7">
        <v>1.85</v>
      </c>
    </row>
    <row r="8" spans="1:4" x14ac:dyDescent="0.25">
      <c r="A8">
        <v>2.6</v>
      </c>
      <c r="B8">
        <v>4.43</v>
      </c>
      <c r="C8">
        <v>2.6</v>
      </c>
      <c r="D8">
        <v>2.73</v>
      </c>
    </row>
    <row r="9" spans="1:4" x14ac:dyDescent="0.25">
      <c r="A9">
        <v>3.46</v>
      </c>
      <c r="B9">
        <v>3.89</v>
      </c>
      <c r="C9">
        <v>3.46</v>
      </c>
      <c r="D9">
        <v>3.63</v>
      </c>
    </row>
    <row r="10" spans="1:4" x14ac:dyDescent="0.25">
      <c r="A10">
        <v>4.3099999999999996</v>
      </c>
      <c r="B10">
        <v>3.37</v>
      </c>
      <c r="C10">
        <v>4.3099999999999996</v>
      </c>
      <c r="D10">
        <v>4.53</v>
      </c>
    </row>
    <row r="11" spans="1:4" x14ac:dyDescent="0.25">
      <c r="A11">
        <v>5.14</v>
      </c>
      <c r="B11">
        <v>2.92</v>
      </c>
      <c r="C11">
        <v>5.14</v>
      </c>
      <c r="D11">
        <v>5.4</v>
      </c>
    </row>
    <row r="12" spans="1:4" x14ac:dyDescent="0.25">
      <c r="A12">
        <v>5.95</v>
      </c>
      <c r="B12">
        <v>2.54</v>
      </c>
      <c r="C12">
        <v>5.95</v>
      </c>
      <c r="D12">
        <v>6.25</v>
      </c>
    </row>
    <row r="13" spans="1:4" x14ac:dyDescent="0.25">
      <c r="A13">
        <v>6.74</v>
      </c>
      <c r="B13">
        <v>2.2200000000000002</v>
      </c>
      <c r="C13">
        <v>6.74</v>
      </c>
      <c r="D13">
        <v>7.07</v>
      </c>
    </row>
    <row r="14" spans="1:4" x14ac:dyDescent="0.25">
      <c r="A14">
        <v>7.51</v>
      </c>
      <c r="B14">
        <v>1.95</v>
      </c>
      <c r="C14">
        <v>7.51</v>
      </c>
      <c r="D14">
        <v>7.88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8"/>
  <sheetViews>
    <sheetView workbookViewId="0">
      <selection activeCell="A9" sqref="A9"/>
    </sheetView>
  </sheetViews>
  <sheetFormatPr defaultRowHeight="15" x14ac:dyDescent="0.25"/>
  <sheetData>
    <row r="1" spans="1:4" x14ac:dyDescent="0.25">
      <c r="A1" t="s">
        <v>28</v>
      </c>
      <c r="B1" t="s">
        <v>27</v>
      </c>
      <c r="C1" t="s">
        <v>28</v>
      </c>
      <c r="D1" t="s">
        <v>9</v>
      </c>
    </row>
    <row r="2" spans="1:4" x14ac:dyDescent="0.25">
      <c r="A2">
        <v>0</v>
      </c>
      <c r="B2">
        <f>$A$7*EXP($A$8*(A2))</f>
        <v>10000000</v>
      </c>
      <c r="C2">
        <v>0</v>
      </c>
      <c r="D2">
        <v>0</v>
      </c>
    </row>
    <row r="3" spans="1:4" x14ac:dyDescent="0.25">
      <c r="A3">
        <v>0.47</v>
      </c>
      <c r="B3">
        <f t="shared" ref="B3:B5" si="0">$A$7*EXP($A$8*(A3+$A$9))</f>
        <v>3906278.3535852116</v>
      </c>
      <c r="C3">
        <v>0.47</v>
      </c>
      <c r="D3">
        <v>3.85</v>
      </c>
    </row>
    <row r="4" spans="1:4" x14ac:dyDescent="0.25">
      <c r="A4">
        <v>2.93</v>
      </c>
      <c r="B4">
        <f t="shared" si="0"/>
        <v>28512.436826796322</v>
      </c>
      <c r="C4">
        <v>2.93</v>
      </c>
      <c r="D4">
        <v>9</v>
      </c>
    </row>
    <row r="5" spans="1:4" x14ac:dyDescent="0.25">
      <c r="A5">
        <v>8.07</v>
      </c>
      <c r="B5">
        <f t="shared" si="0"/>
        <v>0.9783338091423136</v>
      </c>
      <c r="C5">
        <v>8.07</v>
      </c>
      <c r="D5">
        <v>9.9</v>
      </c>
    </row>
    <row r="7" spans="1:4" x14ac:dyDescent="0.25">
      <c r="A7" s="1">
        <v>10000000</v>
      </c>
    </row>
    <row r="8" spans="1:4" x14ac:dyDescent="0.25">
      <c r="A8">
        <v>-2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17"/>
  <sheetViews>
    <sheetView topLeftCell="I1" workbookViewId="0">
      <selection activeCell="N3" sqref="N3"/>
    </sheetView>
  </sheetViews>
  <sheetFormatPr defaultRowHeight="15" x14ac:dyDescent="0.25"/>
  <cols>
    <col min="13" max="13" width="10" bestFit="1" customWidth="1"/>
  </cols>
  <sheetData>
    <row r="1" spans="1:15" x14ac:dyDescent="0.25">
      <c r="A1" t="s">
        <v>45</v>
      </c>
      <c r="B1" s="1">
        <v>6.0000000000000001E-3</v>
      </c>
      <c r="M1" t="s">
        <v>36</v>
      </c>
      <c r="N1" s="1">
        <v>31400000</v>
      </c>
    </row>
    <row r="2" spans="1:15" x14ac:dyDescent="0.25">
      <c r="A2" t="s">
        <v>44</v>
      </c>
      <c r="B2" s="1">
        <v>24000000</v>
      </c>
      <c r="M2" t="s">
        <v>37</v>
      </c>
      <c r="N2">
        <v>-275</v>
      </c>
    </row>
    <row r="3" spans="1:15" x14ac:dyDescent="0.25">
      <c r="A3" t="s">
        <v>46</v>
      </c>
      <c r="B3" s="1">
        <v>13000000</v>
      </c>
      <c r="M3" t="s">
        <v>32</v>
      </c>
      <c r="N3" s="1">
        <f>B5</f>
        <v>12000000000</v>
      </c>
    </row>
    <row r="4" spans="1:15" x14ac:dyDescent="0.25">
      <c r="A4" t="s">
        <v>29</v>
      </c>
      <c r="B4" s="1">
        <f>(B3-B2)/B1^2</f>
        <v>-305555555555.55554</v>
      </c>
    </row>
    <row r="5" spans="1:15" x14ac:dyDescent="0.25">
      <c r="A5" t="s">
        <v>32</v>
      </c>
      <c r="B5" s="1">
        <v>12000000000</v>
      </c>
    </row>
    <row r="6" spans="1:15" x14ac:dyDescent="0.25">
      <c r="A6" t="s">
        <v>7</v>
      </c>
      <c r="B6" t="s">
        <v>33</v>
      </c>
      <c r="C6" t="s">
        <v>35</v>
      </c>
      <c r="M6" t="s">
        <v>7</v>
      </c>
      <c r="N6" t="s">
        <v>42</v>
      </c>
      <c r="O6" t="s">
        <v>38</v>
      </c>
    </row>
    <row r="7" spans="1:15" x14ac:dyDescent="0.25">
      <c r="A7">
        <v>0</v>
      </c>
      <c r="B7" s="1">
        <f>$B$4*(A7-$B$1)^2+$B$2</f>
        <v>13000000</v>
      </c>
      <c r="C7" s="1">
        <f>$B$5/(B7+$B$5*A7)</f>
        <v>923.07692307692309</v>
      </c>
      <c r="M7">
        <v>0</v>
      </c>
      <c r="N7" s="1">
        <f>($N$1*EXP(M7*$N$2))/$N$3</f>
        <v>2.6166666666666669E-3</v>
      </c>
      <c r="O7" s="1">
        <f>N3/N1</f>
        <v>382.16560509554142</v>
      </c>
    </row>
    <row r="8" spans="1:15" x14ac:dyDescent="0.25">
      <c r="A8">
        <v>1E-3</v>
      </c>
      <c r="B8" s="1">
        <f t="shared" ref="B8:B17" si="0">$B$4*(A8-$B$1)^2+$B$2</f>
        <v>16361111.111111112</v>
      </c>
      <c r="C8" s="1">
        <f>$B$5/(B8+$B$5*A8)</f>
        <v>423.11459353574924</v>
      </c>
      <c r="M8">
        <v>1E-3</v>
      </c>
      <c r="N8" s="1">
        <f t="shared" ref="N8:N17" si="1">($N$1*EXP(M8*$N$2))/$N$3</f>
        <v>1.9875470557720008E-3</v>
      </c>
      <c r="O8" s="1">
        <f>-LOG(1 - M8/(M8 + N8))/LOG(M8 + 1)</f>
        <v>407.75516666024657</v>
      </c>
    </row>
    <row r="9" spans="1:15" x14ac:dyDescent="0.25">
      <c r="A9">
        <v>2E-3</v>
      </c>
      <c r="B9" s="1">
        <f t="shared" si="0"/>
        <v>19111111.111111112</v>
      </c>
      <c r="C9" s="1">
        <f>$B$5/(B9+$B$5*A9)</f>
        <v>278.35051546391753</v>
      </c>
      <c r="M9">
        <v>2E-3</v>
      </c>
      <c r="N9" s="1">
        <f t="shared" si="1"/>
        <v>1.5096853371622733E-3</v>
      </c>
      <c r="O9" s="1">
        <f t="shared" ref="O8:O17" si="2">-LOG(1 - M9/(M9 + N9))/LOG(M9 + 1)</f>
        <v>422.23424350807147</v>
      </c>
    </row>
    <row r="10" spans="1:15" x14ac:dyDescent="0.25">
      <c r="A10">
        <v>3.0000000000000001E-3</v>
      </c>
      <c r="B10" s="1">
        <f t="shared" si="0"/>
        <v>21250000</v>
      </c>
      <c r="C10" s="1">
        <f>$B$5/(B10+$B$5*A10)</f>
        <v>209.60698689956331</v>
      </c>
      <c r="M10">
        <v>3.0000000000000001E-3</v>
      </c>
      <c r="N10" s="1">
        <f t="shared" si="1"/>
        <v>1.1467148969499504E-3</v>
      </c>
      <c r="O10" s="1">
        <f t="shared" si="2"/>
        <v>429.1141155693856</v>
      </c>
    </row>
    <row r="11" spans="1:15" x14ac:dyDescent="0.25">
      <c r="A11">
        <v>4.0000000000000001E-3</v>
      </c>
      <c r="B11" s="1">
        <f t="shared" si="0"/>
        <v>22777777.777777776</v>
      </c>
      <c r="C11" s="1">
        <f>$B$5/(B11+$B$5*A11)</f>
        <v>169.5447409733124</v>
      </c>
      <c r="M11">
        <v>4.0000000000000001E-3</v>
      </c>
      <c r="N11" s="1">
        <f t="shared" si="1"/>
        <v>8.7101266900997481E-4</v>
      </c>
      <c r="O11" s="1">
        <f t="shared" si="2"/>
        <v>431.21028080083903</v>
      </c>
    </row>
    <row r="12" spans="1:15" x14ac:dyDescent="0.25">
      <c r="A12">
        <v>5.0000000000000001E-3</v>
      </c>
      <c r="B12" s="1">
        <f t="shared" si="0"/>
        <v>23694444.444444444</v>
      </c>
      <c r="C12" s="1">
        <f>$B$5/(B12+$B$5*A12)</f>
        <v>143.37869233322269</v>
      </c>
      <c r="M12">
        <v>5.0000000000000001E-3</v>
      </c>
      <c r="N12" s="1">
        <f t="shared" si="1"/>
        <v>6.6159694235575319E-4</v>
      </c>
      <c r="O12" s="1">
        <f t="shared" si="2"/>
        <v>430.43346102170398</v>
      </c>
    </row>
    <row r="13" spans="1:15" x14ac:dyDescent="0.25">
      <c r="A13">
        <v>6.0000000000000001E-3</v>
      </c>
      <c r="B13" s="1">
        <f t="shared" si="0"/>
        <v>24000000</v>
      </c>
      <c r="C13" s="1">
        <f>$B$5/(B13+$B$5*A13)</f>
        <v>125</v>
      </c>
      <c r="M13">
        <v>6.0000000000000001E-3</v>
      </c>
      <c r="N13" s="1">
        <f t="shared" si="1"/>
        <v>5.0253059422430653E-4</v>
      </c>
      <c r="O13" s="1">
        <f t="shared" si="2"/>
        <v>427.99389880383194</v>
      </c>
    </row>
    <row r="14" spans="1:15" x14ac:dyDescent="0.25">
      <c r="A14">
        <v>7.0000000000000001E-3</v>
      </c>
      <c r="B14" s="1">
        <f t="shared" si="0"/>
        <v>23694444.444444444</v>
      </c>
      <c r="C14" s="1">
        <f>$B$5/(B14+$B$5*A14)</f>
        <v>111.42636058808357</v>
      </c>
      <c r="M14">
        <v>7.0000000000000001E-3</v>
      </c>
      <c r="N14" s="1">
        <f t="shared" si="1"/>
        <v>3.8170823044046161E-4</v>
      </c>
      <c r="O14" s="1">
        <f t="shared" si="2"/>
        <v>424.63702093675164</v>
      </c>
    </row>
    <row r="15" spans="1:15" x14ac:dyDescent="0.25">
      <c r="A15">
        <v>8.0000000000000002E-3</v>
      </c>
      <c r="B15" s="1">
        <f t="shared" si="0"/>
        <v>22777777.777777776</v>
      </c>
      <c r="C15" s="1">
        <f>$B$5/(B15+$B$5*A15)</f>
        <v>101.02899906454631</v>
      </c>
      <c r="M15">
        <v>8.0000000000000002E-3</v>
      </c>
      <c r="N15" s="1">
        <f t="shared" si="1"/>
        <v>2.8993493104810693E-4</v>
      </c>
      <c r="O15" s="1">
        <f t="shared" si="2"/>
        <v>420.8169535204463</v>
      </c>
    </row>
    <row r="16" spans="1:15" x14ac:dyDescent="0.25">
      <c r="A16">
        <v>8.9999999999999993E-3</v>
      </c>
      <c r="B16" s="1">
        <f t="shared" si="0"/>
        <v>21250000</v>
      </c>
      <c r="C16" s="1">
        <f>$B$5/(B16+$B$5*A16)</f>
        <v>92.843326885880089</v>
      </c>
      <c r="M16">
        <v>8.9999999999999993E-3</v>
      </c>
      <c r="N16" s="1">
        <f t="shared" si="1"/>
        <v>2.2022649117329555E-4</v>
      </c>
      <c r="O16" s="1">
        <f t="shared" si="2"/>
        <v>416.80872298775915</v>
      </c>
    </row>
    <row r="17" spans="1:15" x14ac:dyDescent="0.25">
      <c r="A17">
        <v>0.01</v>
      </c>
      <c r="B17" s="1">
        <f t="shared" si="0"/>
        <v>19111111.111111112</v>
      </c>
      <c r="C17" s="1">
        <f>$B$5/(B17+$B$5*A17)</f>
        <v>86.261980830670936</v>
      </c>
      <c r="M17">
        <v>0.01</v>
      </c>
      <c r="N17" s="1">
        <f t="shared" si="1"/>
        <v>1.672779034908848E-4</v>
      </c>
      <c r="O17" s="1">
        <f t="shared" si="2"/>
        <v>412.77755808078859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23"/>
  <sheetViews>
    <sheetView workbookViewId="0">
      <selection activeCell="B21" sqref="B21"/>
    </sheetView>
  </sheetViews>
  <sheetFormatPr defaultRowHeight="15" x14ac:dyDescent="0.25"/>
  <sheetData>
    <row r="1" spans="1:6" x14ac:dyDescent="0.25">
      <c r="A1" t="s">
        <v>7</v>
      </c>
      <c r="B1" t="s">
        <v>9</v>
      </c>
      <c r="C1" t="s">
        <v>27</v>
      </c>
      <c r="D1" t="s">
        <v>41</v>
      </c>
      <c r="F1" t="s">
        <v>11</v>
      </c>
    </row>
    <row r="2" spans="1:6" x14ac:dyDescent="0.25">
      <c r="A2">
        <v>0</v>
      </c>
      <c r="B2">
        <f>1-1/(1+A2)^$B$20</f>
        <v>0</v>
      </c>
      <c r="C2">
        <f>$B$21*EXP($B$22*A2)</f>
        <v>31400000</v>
      </c>
      <c r="D2">
        <f>A2/(C2/$B$23+A2)</f>
        <v>0</v>
      </c>
      <c r="F2" s="1">
        <f t="shared" ref="F2:F10" si="0">A2-B2/(1-B2)*C2/$B$23</f>
        <v>0</v>
      </c>
    </row>
    <row r="3" spans="1:6" x14ac:dyDescent="0.25">
      <c r="A3">
        <v>1E-3</v>
      </c>
      <c r="B3">
        <f>0.95-1/(1+A3)^$B$20</f>
        <v>0.25498240781573556</v>
      </c>
      <c r="C3" s="1">
        <f>$B$21*EXP($B$22*A3)</f>
        <v>23850564.669264011</v>
      </c>
      <c r="D3" s="1">
        <f>A3/(C3/$B$23+A3)</f>
        <v>0.33601921660011885</v>
      </c>
      <c r="E3" t="str">
        <f>IF(B3&lt;D3, "Good", "Bad")</f>
        <v>Good</v>
      </c>
      <c r="F3" s="1">
        <f t="shared" si="0"/>
        <v>3.2370669922163946E-4</v>
      </c>
    </row>
    <row r="4" spans="1:6" x14ac:dyDescent="0.25">
      <c r="A4">
        <v>2E-3</v>
      </c>
      <c r="B4">
        <f t="shared" ref="B4:B12" si="1">0.95-1/(1+A4)^$B$20</f>
        <v>0.46677503572176104</v>
      </c>
      <c r="C4">
        <f t="shared" ref="C4:C10" si="2">$B$21*EXP($B$22*A4)</f>
        <v>18116224.04594728</v>
      </c>
      <c r="D4">
        <f t="shared" ref="D4:D12" si="3">A4/(C4/$B$23+A4)</f>
        <v>0.5712767892784596</v>
      </c>
      <c r="E4" t="str">
        <f t="shared" ref="E4:E12" si="4">IF(B4&lt;D4, "Good", "Bad")</f>
        <v>Good</v>
      </c>
      <c r="F4" s="1">
        <f t="shared" si="0"/>
        <v>6.8611437847532425E-4</v>
      </c>
    </row>
    <row r="5" spans="1:6" x14ac:dyDescent="0.25">
      <c r="A5">
        <v>3.0000000000000001E-3</v>
      </c>
      <c r="B5">
        <f t="shared" si="1"/>
        <v>0.61390629321041623</v>
      </c>
      <c r="C5">
        <f t="shared" si="2"/>
        <v>13760578.763399404</v>
      </c>
      <c r="D5">
        <f t="shared" si="3"/>
        <v>0.72462638808821955</v>
      </c>
      <c r="E5" t="str">
        <f t="shared" si="4"/>
        <v>Good</v>
      </c>
      <c r="F5" s="1">
        <f t="shared" si="0"/>
        <v>1.1872463302507283E-3</v>
      </c>
    </row>
    <row r="6" spans="1:6" x14ac:dyDescent="0.25">
      <c r="A6">
        <v>4.0000000000000001E-3</v>
      </c>
      <c r="B6">
        <f t="shared" si="1"/>
        <v>0.71615475816802387</v>
      </c>
      <c r="C6">
        <f t="shared" si="2"/>
        <v>10452152.028119698</v>
      </c>
      <c r="D6">
        <f t="shared" si="3"/>
        <v>0.82203696498103063</v>
      </c>
      <c r="E6" t="str">
        <f t="shared" si="4"/>
        <v>Good</v>
      </c>
      <c r="F6" s="1">
        <f t="shared" si="0"/>
        <v>1.8151395098819031E-3</v>
      </c>
    </row>
    <row r="7" spans="1:6" x14ac:dyDescent="0.25">
      <c r="A7">
        <v>5.0000000000000001E-3</v>
      </c>
      <c r="B7">
        <f t="shared" si="1"/>
        <v>0.78723781154191819</v>
      </c>
      <c r="C7">
        <f t="shared" si="2"/>
        <v>7939163.3082690388</v>
      </c>
      <c r="D7">
        <f t="shared" si="3"/>
        <v>0.88374197422173284</v>
      </c>
      <c r="E7" t="str">
        <f t="shared" si="4"/>
        <v>Good</v>
      </c>
      <c r="F7" s="1">
        <f t="shared" si="0"/>
        <v>2.5662332027411505E-3</v>
      </c>
    </row>
    <row r="8" spans="1:6" x14ac:dyDescent="0.25">
      <c r="A8">
        <v>6.0000000000000001E-3</v>
      </c>
      <c r="B8">
        <f t="shared" si="1"/>
        <v>0.83667257577916632</v>
      </c>
      <c r="C8">
        <f t="shared" si="2"/>
        <v>6030367.1306916783</v>
      </c>
      <c r="D8">
        <f t="shared" si="3"/>
        <v>0.92313143518314456</v>
      </c>
      <c r="E8" t="str">
        <f t="shared" si="4"/>
        <v>Good</v>
      </c>
      <c r="F8" s="1">
        <f t="shared" si="0"/>
        <v>3.4406310085859566E-3</v>
      </c>
    </row>
    <row r="9" spans="1:6" x14ac:dyDescent="0.25">
      <c r="A9">
        <v>7.0000000000000001E-3</v>
      </c>
      <c r="B9">
        <f t="shared" si="1"/>
        <v>0.87106443561749203</v>
      </c>
      <c r="C9">
        <f t="shared" si="2"/>
        <v>4580498.7652855394</v>
      </c>
      <c r="D9">
        <f t="shared" si="3"/>
        <v>0.94857445698877407</v>
      </c>
      <c r="E9" t="str">
        <f t="shared" si="4"/>
        <v>Good</v>
      </c>
      <c r="F9" s="1">
        <f t="shared" si="0"/>
        <v>4.436206411385952E-3</v>
      </c>
    </row>
    <row r="10" spans="1:6" x14ac:dyDescent="0.25">
      <c r="A10">
        <v>8.0000000000000002E-3</v>
      </c>
      <c r="B10">
        <f t="shared" si="1"/>
        <v>0.89499954121837677</v>
      </c>
      <c r="C10">
        <f t="shared" si="2"/>
        <v>3479219.1725772833</v>
      </c>
      <c r="D10">
        <f t="shared" si="3"/>
        <v>0.96522144813450317</v>
      </c>
      <c r="E10" t="str">
        <f t="shared" si="4"/>
        <v>Good</v>
      </c>
      <c r="F10" s="1">
        <f t="shared" si="0"/>
        <v>5.5429944706663513E-3</v>
      </c>
    </row>
    <row r="11" spans="1:6" x14ac:dyDescent="0.25">
      <c r="A11">
        <v>8.9999999999999993E-3</v>
      </c>
      <c r="B11">
        <f t="shared" si="1"/>
        <v>0.91166323261012605</v>
      </c>
      <c r="C11">
        <f t="shared" ref="C11:C12" si="5">$B$21*EXP($B$22*A11)</f>
        <v>2642717.8940795464</v>
      </c>
      <c r="D11">
        <f t="shared" si="3"/>
        <v>0.97625008228346544</v>
      </c>
      <c r="E11" t="str">
        <f t="shared" si="4"/>
        <v>Good</v>
      </c>
      <c r="F11" s="1">
        <f>A11-B11/(1-B11)*C11/$B$23</f>
        <v>6.7403744707756445E-3</v>
      </c>
    </row>
    <row r="12" spans="1:6" x14ac:dyDescent="0.25">
      <c r="A12">
        <v>0.01</v>
      </c>
      <c r="B12">
        <f t="shared" si="1"/>
        <v>0.92326870842122255</v>
      </c>
      <c r="C12">
        <f t="shared" si="5"/>
        <v>2007334.8418906177</v>
      </c>
      <c r="D12">
        <f t="shared" si="3"/>
        <v>0.98364128073943513</v>
      </c>
      <c r="E12" t="str">
        <f t="shared" si="4"/>
        <v>Good</v>
      </c>
      <c r="F12" s="1">
        <f>A12-B12/(1-B12)*C12/$B$23</f>
        <v>7.9989029079936685E-3</v>
      </c>
    </row>
    <row r="20" spans="1:2" x14ac:dyDescent="0.25">
      <c r="A20" t="s">
        <v>39</v>
      </c>
      <c r="B20">
        <v>364</v>
      </c>
    </row>
    <row r="21" spans="1:2" x14ac:dyDescent="0.25">
      <c r="A21" t="s">
        <v>36</v>
      </c>
      <c r="B21" s="1">
        <v>31400000</v>
      </c>
    </row>
    <row r="22" spans="1:2" x14ac:dyDescent="0.25">
      <c r="A22" t="s">
        <v>40</v>
      </c>
      <c r="B22" s="1">
        <v>-275</v>
      </c>
    </row>
    <row r="23" spans="1:2" x14ac:dyDescent="0.25">
      <c r="A23" t="s">
        <v>32</v>
      </c>
      <c r="B23" s="1">
        <v>12070000000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24"/>
  <sheetViews>
    <sheetView topLeftCell="A7" workbookViewId="0">
      <selection activeCell="B21" sqref="B21"/>
    </sheetView>
  </sheetViews>
  <sheetFormatPr defaultRowHeight="15" x14ac:dyDescent="0.25"/>
  <sheetData>
    <row r="1" spans="1:6" x14ac:dyDescent="0.25">
      <c r="A1" t="s">
        <v>7</v>
      </c>
      <c r="B1" t="s">
        <v>9</v>
      </c>
      <c r="C1" t="s">
        <v>27</v>
      </c>
      <c r="D1" t="s">
        <v>41</v>
      </c>
      <c r="F1" t="s">
        <v>11</v>
      </c>
    </row>
    <row r="2" spans="1:6" x14ac:dyDescent="0.25">
      <c r="A2">
        <v>0</v>
      </c>
      <c r="B2">
        <f>$B$20*(A2)</f>
        <v>0</v>
      </c>
      <c r="C2" s="1">
        <f>$B$21*A2+$B$22</f>
        <v>13000000</v>
      </c>
      <c r="D2" s="1">
        <f>A2/(C2/$B$24+A2)</f>
        <v>0</v>
      </c>
      <c r="F2" s="1">
        <f>A2-B2/(1-B2)*C2/$B$24</f>
        <v>0</v>
      </c>
    </row>
    <row r="3" spans="1:6" x14ac:dyDescent="0.25">
      <c r="A3">
        <v>1E-3</v>
      </c>
      <c r="B3">
        <f t="shared" ref="B3:B12" si="0">$B$20*(A3)</f>
        <v>9.2800000000000001E-3</v>
      </c>
      <c r="C3" s="1">
        <f t="shared" ref="C3:C12" si="1">$B$21*A3+$B$22</f>
        <v>23245000</v>
      </c>
      <c r="D3" s="1">
        <f>A3/(C3/$B$24+A3)</f>
        <v>0.34047382607462051</v>
      </c>
      <c r="F3" s="1">
        <f>A3-B3/(1-B3)*C3/$B$24</f>
        <v>9.8185548557278208E-4</v>
      </c>
    </row>
    <row r="4" spans="1:6" x14ac:dyDescent="0.25">
      <c r="A4">
        <v>2E-3</v>
      </c>
      <c r="B4">
        <f t="shared" si="0"/>
        <v>1.856E-2</v>
      </c>
      <c r="C4" s="1">
        <f t="shared" si="1"/>
        <v>33490000</v>
      </c>
      <c r="D4">
        <f t="shared" ref="D4:D12" si="2">A4/(C4/$B$24+A4)</f>
        <v>0.41746390676639417</v>
      </c>
      <c r="F4" s="1">
        <f>A4-B4/(1-B4)*C4/$B$24</f>
        <v>1.9472225845016847E-3</v>
      </c>
    </row>
    <row r="5" spans="1:6" x14ac:dyDescent="0.25">
      <c r="A5">
        <v>3.0000000000000001E-3</v>
      </c>
      <c r="B5">
        <f t="shared" si="0"/>
        <v>2.784E-2</v>
      </c>
      <c r="C5" s="1">
        <f t="shared" si="1"/>
        <v>43735000</v>
      </c>
      <c r="D5">
        <f t="shared" si="2"/>
        <v>0.45149557910578791</v>
      </c>
      <c r="F5" s="1">
        <f>A5-B5/(1-B5)*C5/$B$24</f>
        <v>2.8956291145490454E-3</v>
      </c>
    </row>
    <row r="6" spans="1:6" x14ac:dyDescent="0.25">
      <c r="A6">
        <v>4.0000000000000001E-3</v>
      </c>
      <c r="B6">
        <f t="shared" si="0"/>
        <v>3.712E-2</v>
      </c>
      <c r="C6" s="1">
        <f t="shared" si="1"/>
        <v>53980000</v>
      </c>
      <c r="D6">
        <f t="shared" si="2"/>
        <v>0.47068052559325357</v>
      </c>
      <c r="F6" s="1">
        <f>A6-B6/(1-B6)*C6/$B$24</f>
        <v>3.8265846903733245E-3</v>
      </c>
    </row>
    <row r="7" spans="1:6" x14ac:dyDescent="0.25">
      <c r="A7">
        <v>5.0000000000000001E-3</v>
      </c>
      <c r="B7">
        <f t="shared" si="0"/>
        <v>4.6399999999999997E-2</v>
      </c>
      <c r="C7" s="1">
        <f t="shared" si="1"/>
        <v>64225000</v>
      </c>
      <c r="D7">
        <f t="shared" si="2"/>
        <v>0.48299456631112897</v>
      </c>
      <c r="F7" s="1">
        <f>A7-B7/(1-B7)*C7/$B$24</f>
        <v>4.7395798378076061E-3</v>
      </c>
    </row>
    <row r="8" spans="1:6" x14ac:dyDescent="0.25">
      <c r="A8">
        <v>6.0000000000000001E-3</v>
      </c>
      <c r="B8">
        <f t="shared" si="0"/>
        <v>5.568E-2</v>
      </c>
      <c r="C8" s="1">
        <f t="shared" si="1"/>
        <v>74470000</v>
      </c>
      <c r="D8">
        <f t="shared" si="2"/>
        <v>0.49156823922987647</v>
      </c>
      <c r="F8" s="1">
        <f>A8-B8/(1-B8)*C8/$B$24</f>
        <v>5.6340850559132502E-3</v>
      </c>
    </row>
    <row r="9" spans="1:6" x14ac:dyDescent="0.25">
      <c r="A9">
        <v>7.0000000000000001E-3</v>
      </c>
      <c r="B9">
        <f t="shared" si="0"/>
        <v>6.495999999999999E-2</v>
      </c>
      <c r="C9" s="1">
        <f t="shared" si="1"/>
        <v>84715000</v>
      </c>
      <c r="D9">
        <f t="shared" si="2"/>
        <v>0.49788104199389505</v>
      </c>
      <c r="F9" s="1">
        <f>A9-B9/(1-B9)*C9/$B$24</f>
        <v>6.5095498231804699E-3</v>
      </c>
    </row>
    <row r="10" spans="1:6" x14ac:dyDescent="0.25">
      <c r="A10">
        <v>8.0000000000000002E-3</v>
      </c>
      <c r="B10">
        <f t="shared" si="0"/>
        <v>7.424E-2</v>
      </c>
      <c r="C10" s="1">
        <f t="shared" si="1"/>
        <v>94960000</v>
      </c>
      <c r="D10">
        <f t="shared" si="2"/>
        <v>0.50272308336824467</v>
      </c>
      <c r="F10" s="1">
        <f>A10-B10/(1-B10)*C10/$B$24</f>
        <v>7.3654015439566772E-3</v>
      </c>
    </row>
    <row r="11" spans="1:6" x14ac:dyDescent="0.25">
      <c r="A11">
        <v>8.9999999999999993E-3</v>
      </c>
      <c r="B11">
        <f t="shared" si="0"/>
        <v>8.3519999999999983E-2</v>
      </c>
      <c r="C11" s="1">
        <f t="shared" si="1"/>
        <v>105205000</v>
      </c>
      <c r="D11">
        <f t="shared" si="2"/>
        <v>0.50655472432635251</v>
      </c>
      <c r="F11" s="1">
        <f>A11-B11/(1-B11)*C11/$B$24</f>
        <v>8.2010444308659204E-3</v>
      </c>
    </row>
    <row r="12" spans="1:6" x14ac:dyDescent="0.25">
      <c r="A12">
        <v>0.01</v>
      </c>
      <c r="B12">
        <f t="shared" si="0"/>
        <v>9.2799999999999994E-2</v>
      </c>
      <c r="C12" s="1">
        <f t="shared" si="1"/>
        <v>115450000</v>
      </c>
      <c r="D12">
        <f t="shared" si="2"/>
        <v>0.50966234869399019</v>
      </c>
      <c r="F12" s="1">
        <f>A12-B12/(1-B12)*C12/$B$24</f>
        <v>9.0158583186360965E-3</v>
      </c>
    </row>
    <row r="20" spans="1:2" x14ac:dyDescent="0.25">
      <c r="A20" t="s">
        <v>34</v>
      </c>
      <c r="B20">
        <v>9.2799999999999994</v>
      </c>
    </row>
    <row r="21" spans="1:2" x14ac:dyDescent="0.25">
      <c r="A21" t="s">
        <v>29</v>
      </c>
      <c r="B21" s="1">
        <v>10245000000</v>
      </c>
    </row>
    <row r="22" spans="1:2" x14ac:dyDescent="0.25">
      <c r="A22" t="s">
        <v>30</v>
      </c>
      <c r="B22" s="1">
        <v>13000000</v>
      </c>
    </row>
    <row r="23" spans="1:2" x14ac:dyDescent="0.25">
      <c r="A23" t="s">
        <v>31</v>
      </c>
      <c r="B23" s="1"/>
    </row>
    <row r="24" spans="1:2" x14ac:dyDescent="0.25">
      <c r="A24" t="s">
        <v>32</v>
      </c>
      <c r="B24" s="1">
        <v>12000000000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2</vt:i4>
      </vt:variant>
    </vt:vector>
  </HeadingPairs>
  <TitlesOfParts>
    <vt:vector size="11" baseType="lpstr">
      <vt:lpstr>Sheet1</vt:lpstr>
      <vt:lpstr>Sheet2</vt:lpstr>
      <vt:lpstr>Sheet3</vt:lpstr>
      <vt:lpstr>Sheet4</vt:lpstr>
      <vt:lpstr>Sheet5</vt:lpstr>
      <vt:lpstr>Sheet6</vt:lpstr>
      <vt:lpstr>Sheet7</vt:lpstr>
      <vt:lpstr>Sheet8</vt:lpstr>
      <vt:lpstr>Sheet9</vt:lpstr>
      <vt:lpstr>Sheet2!observationUDEC</vt:lpstr>
      <vt:lpstr>Sheet1!output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Mike Yeti</dc:creator>
  <cp:lastModifiedBy>Mike Yeti</cp:lastModifiedBy>
  <dcterms:created xsi:type="dcterms:W3CDTF">2015-12-17T17:47:44Z</dcterms:created>
  <dcterms:modified xsi:type="dcterms:W3CDTF">2016-01-26T19:32:13Z</dcterms:modified>
</cp:coreProperties>
</file>