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\Documents\GitHub\Up-Frac\misc\"/>
    </mc:Choice>
  </mc:AlternateContent>
  <bookViews>
    <workbookView xWindow="0" yWindow="0" windowWidth="20490" windowHeight="7755"/>
  </bookViews>
  <sheets>
    <sheet name="Sheet1" sheetId="1" r:id="rId1"/>
    <sheet name="Sheet2" sheetId="2" r:id="rId2"/>
    <sheet name="Sheet7" sheetId="7" r:id="rId3"/>
    <sheet name="Sheet8" sheetId="8" r:id="rId4"/>
    <sheet name="Sheet9" sheetId="9" r:id="rId5"/>
  </sheets>
  <definedNames>
    <definedName name="observationUDEC" localSheetId="1">Sheet2!$A$1:$G$52</definedName>
    <definedName name="output" localSheetId="0">Sheet1!$A$1:$G$52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  <c r="B22" i="8"/>
  <c r="B23" i="8"/>
  <c r="B21" i="8"/>
  <c r="N3" i="7"/>
  <c r="M43" i="1"/>
  <c r="B25" i="9"/>
  <c r="I19" i="1"/>
  <c r="C2" i="9" s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2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2" i="1"/>
  <c r="I21" i="1"/>
  <c r="A12" i="9"/>
  <c r="B21" i="9"/>
  <c r="A2" i="9"/>
  <c r="B22" i="9"/>
  <c r="B23" i="9"/>
  <c r="B26" i="9"/>
  <c r="I17" i="1"/>
  <c r="I26" i="1"/>
  <c r="I27" i="1"/>
  <c r="I28" i="1"/>
  <c r="B4" i="7"/>
  <c r="B10" i="7" s="1"/>
  <c r="C10" i="7" s="1"/>
  <c r="F3" i="7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20" i="1"/>
  <c r="I22" i="1"/>
  <c r="I23" i="1"/>
  <c r="I24" i="1"/>
  <c r="I25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2" i="1"/>
  <c r="C12" i="8"/>
  <c r="C3" i="8"/>
  <c r="B9" i="7" l="1"/>
  <c r="C9" i="7" s="1"/>
  <c r="B24" i="9"/>
  <c r="C5" i="9" s="1"/>
  <c r="B8" i="7"/>
  <c r="C8" i="7" s="1"/>
  <c r="B18" i="7"/>
  <c r="C18" i="7" s="1"/>
  <c r="B17" i="7"/>
  <c r="C17" i="7" s="1"/>
  <c r="B16" i="7"/>
  <c r="C16" i="7" s="1"/>
  <c r="B15" i="7"/>
  <c r="C15" i="7" s="1"/>
  <c r="B14" i="7"/>
  <c r="C14" i="7" s="1"/>
  <c r="B13" i="7"/>
  <c r="C13" i="7" s="1"/>
  <c r="B12" i="7"/>
  <c r="C12" i="7" s="1"/>
  <c r="B11" i="7"/>
  <c r="C11" i="7" s="1"/>
  <c r="C12" i="9"/>
  <c r="C8" i="9"/>
  <c r="C4" i="9"/>
  <c r="C11" i="9"/>
  <c r="C7" i="9"/>
  <c r="C3" i="9"/>
  <c r="C10" i="9"/>
  <c r="C6" i="9"/>
  <c r="C9" i="9"/>
  <c r="D7" i="9" l="1"/>
  <c r="D3" i="9"/>
  <c r="D4" i="9"/>
  <c r="D5" i="9"/>
  <c r="D6" i="9"/>
  <c r="D8" i="9"/>
  <c r="D9" i="9"/>
  <c r="D10" i="9"/>
  <c r="D11" i="9"/>
  <c r="D12" i="9"/>
  <c r="D2" i="9"/>
  <c r="D3" i="8"/>
  <c r="C11" i="8"/>
  <c r="D11" i="8" s="1"/>
  <c r="D12" i="8"/>
  <c r="C4" i="8"/>
  <c r="D4" i="8" s="1"/>
  <c r="C5" i="8"/>
  <c r="D5" i="8" s="1"/>
  <c r="C6" i="8"/>
  <c r="D6" i="8" s="1"/>
  <c r="C7" i="8"/>
  <c r="D7" i="8" s="1"/>
  <c r="C8" i="8"/>
  <c r="D8" i="8" s="1"/>
  <c r="C9" i="8"/>
  <c r="D9" i="8" s="1"/>
  <c r="C10" i="8"/>
  <c r="D10" i="8" s="1"/>
  <c r="C2" i="8"/>
  <c r="D2" i="8" s="1"/>
  <c r="N9" i="7" l="1"/>
  <c r="O9" i="7" s="1"/>
  <c r="O8" i="7"/>
  <c r="N14" i="7"/>
  <c r="O14" i="7" s="1"/>
  <c r="N17" i="7"/>
  <c r="O17" i="7" s="1"/>
  <c r="N13" i="7"/>
  <c r="O13" i="7" s="1"/>
  <c r="N18" i="7"/>
  <c r="O18" i="7" s="1"/>
  <c r="N10" i="7"/>
  <c r="O10" i="7" s="1"/>
  <c r="C20" i="7"/>
  <c r="B20" i="9" s="1"/>
  <c r="N8" i="7"/>
  <c r="N16" i="7"/>
  <c r="O16" i="7" s="1"/>
  <c r="N12" i="7"/>
  <c r="O12" i="7" s="1"/>
  <c r="N15" i="7"/>
  <c r="O15" i="7" s="1"/>
  <c r="N11" i="7"/>
  <c r="O11" i="7" s="1"/>
  <c r="B10" i="9" l="1"/>
  <c r="F10" i="9" s="1"/>
  <c r="B12" i="9"/>
  <c r="F12" i="9" s="1"/>
  <c r="B2" i="9"/>
  <c r="F2" i="9" s="1"/>
  <c r="B6" i="9"/>
  <c r="F6" i="9" s="1"/>
  <c r="B4" i="9"/>
  <c r="F4" i="9" s="1"/>
  <c r="B9" i="9"/>
  <c r="F9" i="9" s="1"/>
  <c r="B3" i="9"/>
  <c r="F3" i="9" s="1"/>
  <c r="B7" i="9"/>
  <c r="F7" i="9" s="1"/>
  <c r="B11" i="9"/>
  <c r="F11" i="9" s="1"/>
  <c r="B8" i="9"/>
  <c r="F8" i="9" s="1"/>
  <c r="B5" i="9"/>
  <c r="F5" i="9" s="1"/>
  <c r="O23" i="7"/>
  <c r="B20" i="8" s="1"/>
  <c r="B4" i="8" l="1"/>
  <c r="B8" i="8"/>
  <c r="B12" i="8"/>
  <c r="B2" i="8"/>
  <c r="F2" i="8" s="1"/>
  <c r="B9" i="8"/>
  <c r="B3" i="8"/>
  <c r="B6" i="8"/>
  <c r="B10" i="8"/>
  <c r="B11" i="8"/>
  <c r="B5" i="8"/>
  <c r="B7" i="8"/>
  <c r="F11" i="8" l="1"/>
  <c r="E11" i="8"/>
  <c r="E9" i="8"/>
  <c r="F9" i="8"/>
  <c r="E4" i="8"/>
  <c r="F4" i="8"/>
  <c r="F10" i="8"/>
  <c r="E10" i="8"/>
  <c r="F7" i="8"/>
  <c r="E7" i="8"/>
  <c r="F6" i="8"/>
  <c r="E6" i="8"/>
  <c r="F12" i="8"/>
  <c r="E12" i="8"/>
  <c r="F5" i="8"/>
  <c r="E5" i="8"/>
  <c r="F3" i="8"/>
  <c r="E3" i="8"/>
  <c r="F8" i="8"/>
  <c r="E8" i="8"/>
</calcChain>
</file>

<file path=xl/connections.xml><?xml version="1.0" encoding="utf-8"?>
<connections xmlns="http://schemas.openxmlformats.org/spreadsheetml/2006/main">
  <connection id="1" name="observationUDEC" type="6" refreshedVersion="5" background="1" saveData="1">
    <textPr prompt="0" codePage="850" sourceFile="C:\Users\Mike\Documents\GitHub\Up-Frac\ostrich\observationUDEC.dat" space="1" consecutive="1">
      <textFields count="7">
        <textField/>
        <textField/>
        <textField/>
        <textField/>
        <textField/>
        <textField/>
        <textField/>
      </textFields>
    </textPr>
  </connection>
  <connection id="2" name="output" type="6" refreshedVersion="5" background="1" saveData="1">
    <textPr prompt="0" codePage="850" sourceFile="C:\Users\Mike\Documents\GitHub\Up-Frac\ostrich\model0\output.da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<sst xmlns="http://schemas.openxmlformats.org/spreadsheetml/2006/main" count="52" uniqueCount="28">
  <si>
    <t>time</t>
  </si>
  <si>
    <t>S11</t>
  </si>
  <si>
    <t>S22</t>
  </si>
  <si>
    <t>S12</t>
  </si>
  <si>
    <t>LE11</t>
  </si>
  <si>
    <t>LE22</t>
  </si>
  <si>
    <t>LE12</t>
  </si>
  <si>
    <t>strain</t>
  </si>
  <si>
    <t>damage</t>
  </si>
  <si>
    <t>plastic strain</t>
  </si>
  <si>
    <t>stress</t>
  </si>
  <si>
    <t>a</t>
  </si>
  <si>
    <t>b</t>
  </si>
  <si>
    <t>E0</t>
  </si>
  <si>
    <t>m</t>
  </si>
  <si>
    <t>max M</t>
  </si>
  <si>
    <t>N</t>
  </si>
  <si>
    <t>lmabda</t>
  </si>
  <si>
    <t>max n</t>
  </si>
  <si>
    <t>n</t>
  </si>
  <si>
    <t>lambda</t>
  </si>
  <si>
    <t>damage limit</t>
  </si>
  <si>
    <t>x</t>
  </si>
  <si>
    <t>k</t>
  </si>
  <si>
    <t>h</t>
  </si>
  <si>
    <t>d</t>
  </si>
  <si>
    <t xml:space="preserve">td = 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</si>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</sst>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S22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Sheet2!$I$2:$I$52</c:f>
              <c:numCache>
                <c:formatCode>0.00E+00</c:formatCode>
                <c:ptCount val="51"/>
                <c:pt idx="0">
                  <c:v>0</c:v>
                </c:pt>
                <c:pt idx="1">
                  <c:v>-3.9646675938199996E-2</c:v>
                </c:pt>
                <c:pt idx="2">
                  <c:v>-7.9001026463199994E-2</c:v>
                </c:pt>
                <c:pt idx="3">
                  <c:v>-0.11806220023099999</c:v>
                </c:pt>
                <c:pt idx="4">
                  <c:v>-0.15716366028200002</c:v>
                </c:pt>
                <c:pt idx="5">
                  <c:v>-0.19671630956500002</c:v>
                </c:pt>
                <c:pt idx="6">
                  <c:v>-0.23575076732099998</c:v>
                </c:pt>
                <c:pt idx="7">
                  <c:v>-0.27437405338099996</c:v>
                </c:pt>
                <c:pt idx="8">
                  <c:v>-0.31256906262299999</c:v>
                </c:pt>
                <c:pt idx="9">
                  <c:v>-0.35109051582899997</c:v>
                </c:pt>
                <c:pt idx="10">
                  <c:v>-0.390070932245</c:v>
                </c:pt>
                <c:pt idx="11">
                  <c:v>-0.429433477673</c:v>
                </c:pt>
                <c:pt idx="12">
                  <c:v>-0.46813880568799998</c:v>
                </c:pt>
                <c:pt idx="13">
                  <c:v>-0.50654445578100005</c:v>
                </c:pt>
                <c:pt idx="14">
                  <c:v>-0.54562017539600005</c:v>
                </c:pt>
                <c:pt idx="15">
                  <c:v>-0.58421107684999996</c:v>
                </c:pt>
                <c:pt idx="16">
                  <c:v>-0.62272479344999998</c:v>
                </c:pt>
                <c:pt idx="17">
                  <c:v>-0.66061161905900001</c:v>
                </c:pt>
                <c:pt idx="18">
                  <c:v>-0.69888143152400006</c:v>
                </c:pt>
                <c:pt idx="19">
                  <c:v>-0.73784142208799997</c:v>
                </c:pt>
                <c:pt idx="20">
                  <c:v>-0.77680133977699994</c:v>
                </c:pt>
                <c:pt idx="21">
                  <c:v>-0.81098298611700004</c:v>
                </c:pt>
                <c:pt idx="22">
                  <c:v>-0.83875106591799997</c:v>
                </c:pt>
                <c:pt idx="23">
                  <c:v>-0.85793391341599989</c:v>
                </c:pt>
                <c:pt idx="24">
                  <c:v>-0.86918828053800001</c:v>
                </c:pt>
                <c:pt idx="25">
                  <c:v>-0.87214687197599994</c:v>
                </c:pt>
                <c:pt idx="26">
                  <c:v>-0.86816741338400005</c:v>
                </c:pt>
                <c:pt idx="27">
                  <c:v>-0.85645630904100001</c:v>
                </c:pt>
                <c:pt idx="28">
                  <c:v>-0.83702494795399995</c:v>
                </c:pt>
                <c:pt idx="29">
                  <c:v>-0.80965587685499996</c:v>
                </c:pt>
                <c:pt idx="30">
                  <c:v>-0.77467368152900007</c:v>
                </c:pt>
                <c:pt idx="31">
                  <c:v>-0.73573558934900007</c:v>
                </c:pt>
                <c:pt idx="32">
                  <c:v>-0.69685634245799999</c:v>
                </c:pt>
                <c:pt idx="33">
                  <c:v>-0.65784922624699993</c:v>
                </c:pt>
                <c:pt idx="34">
                  <c:v>-0.61898444508499995</c:v>
                </c:pt>
                <c:pt idx="35">
                  <c:v>-0.58041059184200006</c:v>
                </c:pt>
                <c:pt idx="36">
                  <c:v>-0.54188151755799996</c:v>
                </c:pt>
                <c:pt idx="37">
                  <c:v>-0.503352503773</c:v>
                </c:pt>
                <c:pt idx="38">
                  <c:v>-0.46488917849700001</c:v>
                </c:pt>
                <c:pt idx="39">
                  <c:v>-0.42608392979799997</c:v>
                </c:pt>
                <c:pt idx="40">
                  <c:v>-0.38747894222599999</c:v>
                </c:pt>
                <c:pt idx="41">
                  <c:v>-0.34910581837599997</c:v>
                </c:pt>
                <c:pt idx="42">
                  <c:v>-0.31069035013400004</c:v>
                </c:pt>
                <c:pt idx="43">
                  <c:v>-0.27244184564700002</c:v>
                </c:pt>
                <c:pt idx="44">
                  <c:v>-0.23392242531200003</c:v>
                </c:pt>
                <c:pt idx="45">
                  <c:v>-0.195636488227</c:v>
                </c:pt>
                <c:pt idx="46">
                  <c:v>-0.15703435536999999</c:v>
                </c:pt>
                <c:pt idx="47">
                  <c:v>-0.11803501124900001</c:v>
                </c:pt>
                <c:pt idx="48">
                  <c:v>-7.9165460377700003E-2</c:v>
                </c:pt>
                <c:pt idx="49">
                  <c:v>-3.9648139122500002E-2</c:v>
                </c:pt>
                <c:pt idx="50">
                  <c:v>2.6373280073300001E-4</c:v>
                </c:pt>
              </c:numCache>
            </c:numRef>
          </c:xVal>
          <c:yVal>
            <c:numRef>
              <c:f>Sheet2!$H$2:$H$52</c:f>
              <c:numCache>
                <c:formatCode>General</c:formatCode>
                <c:ptCount val="51"/>
                <c:pt idx="0">
                  <c:v>-5.9961381740899995</c:v>
                </c:pt>
                <c:pt idx="1">
                  <c:v>-9.7961381740900002</c:v>
                </c:pt>
                <c:pt idx="2">
                  <c:v>-14.246395166300001</c:v>
                </c:pt>
                <c:pt idx="3">
                  <c:v>-18.354383630800001</c:v>
                </c:pt>
                <c:pt idx="4">
                  <c:v>-22.061920758999999</c:v>
                </c:pt>
                <c:pt idx="5">
                  <c:v>-25.217554048500002</c:v>
                </c:pt>
                <c:pt idx="6">
                  <c:v>-27.898760287599998</c:v>
                </c:pt>
                <c:pt idx="7">
                  <c:v>-30.000290503400002</c:v>
                </c:pt>
                <c:pt idx="8">
                  <c:v>-32.064254271300001</c:v>
                </c:pt>
                <c:pt idx="9">
                  <c:v>-34.100997594500001</c:v>
                </c:pt>
                <c:pt idx="10">
                  <c:v>-36.039318451500002</c:v>
                </c:pt>
                <c:pt idx="11">
                  <c:v>-37.874464830899996</c:v>
                </c:pt>
                <c:pt idx="12">
                  <c:v>-39.740337575000005</c:v>
                </c:pt>
                <c:pt idx="13">
                  <c:v>-41.473759294299995</c:v>
                </c:pt>
                <c:pt idx="14">
                  <c:v>-43.148461288299998</c:v>
                </c:pt>
                <c:pt idx="15">
                  <c:v>-44.5028254781</c:v>
                </c:pt>
                <c:pt idx="16">
                  <c:v>-45.960192020699999</c:v>
                </c:pt>
                <c:pt idx="17">
                  <c:v>-47.030905153500001</c:v>
                </c:pt>
                <c:pt idx="18">
                  <c:v>-48.412467116599998</c:v>
                </c:pt>
                <c:pt idx="19">
                  <c:v>-49.619357472499999</c:v>
                </c:pt>
                <c:pt idx="20">
                  <c:v>-50.585197157899998</c:v>
                </c:pt>
                <c:pt idx="21">
                  <c:v>-51.3915030151</c:v>
                </c:pt>
                <c:pt idx="22">
                  <c:v>-51.7450770246</c:v>
                </c:pt>
                <c:pt idx="23">
                  <c:v>-51.856653374099999</c:v>
                </c:pt>
                <c:pt idx="24">
                  <c:v>-51.819697366</c:v>
                </c:pt>
                <c:pt idx="25">
                  <c:v>-51.449971918099997</c:v>
                </c:pt>
                <c:pt idx="26">
                  <c:v>-51.0073030864</c:v>
                </c:pt>
                <c:pt idx="27">
                  <c:v>-50.240462471699999</c:v>
                </c:pt>
                <c:pt idx="28">
                  <c:v>-49.163310086499997</c:v>
                </c:pt>
                <c:pt idx="29">
                  <c:v>-47.820023068800005</c:v>
                </c:pt>
                <c:pt idx="30">
                  <c:v>-46.125834297700003</c:v>
                </c:pt>
                <c:pt idx="31">
                  <c:v>-44.450860785300002</c:v>
                </c:pt>
                <c:pt idx="32">
                  <c:v>-42.858222748300001</c:v>
                </c:pt>
                <c:pt idx="33">
                  <c:v>-41.292664152299999</c:v>
                </c:pt>
                <c:pt idx="34">
                  <c:v>-39.684144137600001</c:v>
                </c:pt>
                <c:pt idx="35">
                  <c:v>-38.123811994299999</c:v>
                </c:pt>
                <c:pt idx="36">
                  <c:v>-36.578387919000001</c:v>
                </c:pt>
                <c:pt idx="37">
                  <c:v>-34.8646241597</c:v>
                </c:pt>
                <c:pt idx="38">
                  <c:v>-33.119090309900002</c:v>
                </c:pt>
                <c:pt idx="39">
                  <c:v>-31.3820874084</c:v>
                </c:pt>
                <c:pt idx="40">
                  <c:v>-29.5601592111</c:v>
                </c:pt>
                <c:pt idx="41">
                  <c:v>-27.6771776155</c:v>
                </c:pt>
                <c:pt idx="42">
                  <c:v>-25.760112385000003</c:v>
                </c:pt>
                <c:pt idx="43">
                  <c:v>-23.852508799700001</c:v>
                </c:pt>
                <c:pt idx="44">
                  <c:v>-21.841253713</c:v>
                </c:pt>
                <c:pt idx="45">
                  <c:v>-19.648390723599999</c:v>
                </c:pt>
                <c:pt idx="46">
                  <c:v>-17.337571458199999</c:v>
                </c:pt>
                <c:pt idx="47">
                  <c:v>-14.782886192700001</c:v>
                </c:pt>
                <c:pt idx="48">
                  <c:v>-11.957898428</c:v>
                </c:pt>
                <c:pt idx="49">
                  <c:v>-8.5724552624299992</c:v>
                </c:pt>
                <c:pt idx="50">
                  <c:v>-4.8495233679299998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S22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Sheet1!$I$2:$I$52</c:f>
              <c:numCache>
                <c:formatCode>General</c:formatCode>
                <c:ptCount val="51"/>
                <c:pt idx="0">
                  <c:v>0</c:v>
                </c:pt>
                <c:pt idx="1">
                  <c:v>-4.00200064735E-2</c:v>
                </c:pt>
                <c:pt idx="2">
                  <c:v>-8.0040012947100003E-2</c:v>
                </c:pt>
                <c:pt idx="3">
                  <c:v>-0.12007738204099999</c:v>
                </c:pt>
                <c:pt idx="4">
                  <c:v>-0.16014393619100001</c:v>
                </c:pt>
                <c:pt idx="5">
                  <c:v>-0.200210490342</c:v>
                </c:pt>
                <c:pt idx="6">
                  <c:v>-0.24030363067899999</c:v>
                </c:pt>
                <c:pt idx="7">
                  <c:v>-0.28040698475699999</c:v>
                </c:pt>
                <c:pt idx="8">
                  <c:v>-0.32052402761800003</c:v>
                </c:pt>
                <c:pt idx="9">
                  <c:v>-0.36066474017699995</c:v>
                </c:pt>
                <c:pt idx="10">
                  <c:v>-0.40080545273500001</c:v>
                </c:pt>
                <c:pt idx="11">
                  <c:v>-0.44097733131100003</c:v>
                </c:pt>
                <c:pt idx="12">
                  <c:v>-0.48116157860500003</c:v>
                </c:pt>
                <c:pt idx="13">
                  <c:v>-0.521361776542</c:v>
                </c:pt>
                <c:pt idx="14">
                  <c:v>-0.56159034754000003</c:v>
                </c:pt>
                <c:pt idx="15" formatCode="0.00E+00">
                  <c:v>-0.60181891853799996</c:v>
                </c:pt>
                <c:pt idx="16" formatCode="0.00E+00">
                  <c:v>-0.64207217780199999</c:v>
                </c:pt>
                <c:pt idx="17" formatCode="0.00E+00">
                  <c:v>-0.68233555269800006</c:v>
                </c:pt>
                <c:pt idx="18">
                  <c:v>-0.72260071339099996</c:v>
                </c:pt>
                <c:pt idx="19" formatCode="0.00E+00">
                  <c:v>-0.76287401908499997</c:v>
                </c:pt>
                <c:pt idx="20">
                  <c:v>-0.80314732477799999</c:v>
                </c:pt>
                <c:pt idx="21">
                  <c:v>-0.83419589756800006</c:v>
                </c:pt>
                <c:pt idx="22">
                  <c:v>-0.86383584228400001</c:v>
                </c:pt>
                <c:pt idx="23">
                  <c:v>-0.88361431845799998</c:v>
                </c:pt>
                <c:pt idx="24">
                  <c:v>-0.89265588479199987</c:v>
                </c:pt>
                <c:pt idx="25">
                  <c:v>-0.90169745112700006</c:v>
                </c:pt>
                <c:pt idx="26">
                  <c:v>-0.895159577569</c:v>
                </c:pt>
                <c:pt idx="27">
                  <c:v>-0.88376492019199993</c:v>
                </c:pt>
                <c:pt idx="28">
                  <c:v>-0.86415857588</c:v>
                </c:pt>
                <c:pt idx="29">
                  <c:v>-0.83296803044000012</c:v>
                </c:pt>
                <c:pt idx="30">
                  <c:v>-0.80177748499900003</c:v>
                </c:pt>
                <c:pt idx="31">
                  <c:v>-0.76291257333400009</c:v>
                </c:pt>
                <c:pt idx="32">
                  <c:v>-0.72261193828500003</c:v>
                </c:pt>
                <c:pt idx="33">
                  <c:v>-0.68232344914999998</c:v>
                </c:pt>
                <c:pt idx="34">
                  <c:v>-0.64206775531900007</c:v>
                </c:pt>
                <c:pt idx="35">
                  <c:v>-0.60181206148800004</c:v>
                </c:pt>
                <c:pt idx="36">
                  <c:v>-0.56158783249100008</c:v>
                </c:pt>
                <c:pt idx="37">
                  <c:v>-0.52136411845800001</c:v>
                </c:pt>
                <c:pt idx="38">
                  <c:v>-0.481160487385</c:v>
                </c:pt>
                <c:pt idx="39">
                  <c:v>-0.44098555117900001</c:v>
                </c:pt>
                <c:pt idx="40">
                  <c:v>-0.400810614974</c:v>
                </c:pt>
                <c:pt idx="41">
                  <c:v>-0.360666850368</c:v>
                </c:pt>
                <c:pt idx="42">
                  <c:v>-0.32052904377499997</c:v>
                </c:pt>
                <c:pt idx="43">
                  <c:v>-0.280402425495</c:v>
                </c:pt>
                <c:pt idx="44">
                  <c:v>-0.24030647139000003</c:v>
                </c:pt>
                <c:pt idx="45">
                  <c:v>-0.200210517285</c:v>
                </c:pt>
                <c:pt idx="46">
                  <c:v>-0.16015032180300001</c:v>
                </c:pt>
                <c:pt idx="47">
                  <c:v>-0.120090822156</c:v>
                </c:pt>
                <c:pt idx="48">
                  <c:v>-8.0046288881800001E-2</c:v>
                </c:pt>
                <c:pt idx="49">
                  <c:v>-4.0023144440900001E-2</c:v>
                </c:pt>
                <c:pt idx="50">
                  <c:v>0</c:v>
                </c:pt>
              </c:numCache>
            </c:numRef>
          </c:xVal>
          <c:yVal>
            <c:numRef>
              <c:f>Sheet1!$H$2:$H$52</c:f>
              <c:numCache>
                <c:formatCode>General</c:formatCode>
                <c:ptCount val="51"/>
                <c:pt idx="0">
                  <c:v>-4.3310579999999996</c:v>
                </c:pt>
                <c:pt idx="1">
                  <c:v>-7.6629225282600002</c:v>
                </c:pt>
                <c:pt idx="2">
                  <c:v>-10.994787056500002</c:v>
                </c:pt>
                <c:pt idx="3">
                  <c:v>-14.3034238094</c:v>
                </c:pt>
                <c:pt idx="4">
                  <c:v>-17.573016689900001</c:v>
                </c:pt>
                <c:pt idx="5">
                  <c:v>-20.842609570400001</c:v>
                </c:pt>
                <c:pt idx="6">
                  <c:v>-24.1639669001</c:v>
                </c:pt>
                <c:pt idx="7">
                  <c:v>-27.5052108211</c:v>
                </c:pt>
                <c:pt idx="8">
                  <c:v>-30.8432054222</c:v>
                </c:pt>
                <c:pt idx="9">
                  <c:v>-34.175581524899997</c:v>
                </c:pt>
                <c:pt idx="10">
                  <c:v>-37.5079576276</c:v>
                </c:pt>
                <c:pt idx="11">
                  <c:v>-40.831370795000005</c:v>
                </c:pt>
                <c:pt idx="12">
                  <c:v>-44.151226881999996</c:v>
                </c:pt>
                <c:pt idx="13">
                  <c:v>-47.474447431199998</c:v>
                </c:pt>
                <c:pt idx="14">
                  <c:v>-50.803652698</c:v>
                </c:pt>
                <c:pt idx="15">
                  <c:v>-54.132857964800003</c:v>
                </c:pt>
                <c:pt idx="16">
                  <c:v>-56.195510477600003</c:v>
                </c:pt>
                <c:pt idx="17">
                  <c:v>-57.739212678999998</c:v>
                </c:pt>
                <c:pt idx="18">
                  <c:v>-59.206680683899997</c:v>
                </c:pt>
                <c:pt idx="19">
                  <c:v>-60.3264453229</c:v>
                </c:pt>
                <c:pt idx="20">
                  <c:v>-61.446209961900003</c:v>
                </c:pt>
                <c:pt idx="21">
                  <c:v>-61.682078736500003</c:v>
                </c:pt>
                <c:pt idx="22">
                  <c:v>-61.782975524299999</c:v>
                </c:pt>
                <c:pt idx="23">
                  <c:v>-61.904683789300002</c:v>
                </c:pt>
                <c:pt idx="24">
                  <c:v>-62.049051048100004</c:v>
                </c:pt>
                <c:pt idx="25">
                  <c:v>-62.193418306799998</c:v>
                </c:pt>
                <c:pt idx="26">
                  <c:v>-61.578591406199997</c:v>
                </c:pt>
                <c:pt idx="27">
                  <c:v>-60.7270909195</c:v>
                </c:pt>
                <c:pt idx="28">
                  <c:v>-59.264728220100004</c:v>
                </c:pt>
                <c:pt idx="29">
                  <c:v>-56.940624103799998</c:v>
                </c:pt>
                <c:pt idx="30">
                  <c:v>-54.616519987400004</c:v>
                </c:pt>
                <c:pt idx="31">
                  <c:v>-51.721729834700007</c:v>
                </c:pt>
                <c:pt idx="32">
                  <c:v>-48.7201755189</c:v>
                </c:pt>
                <c:pt idx="33">
                  <c:v>-45.720166018200004</c:v>
                </c:pt>
                <c:pt idx="34">
                  <c:v>-42.724327688100004</c:v>
                </c:pt>
                <c:pt idx="35">
                  <c:v>-39.728489358000004</c:v>
                </c:pt>
                <c:pt idx="36">
                  <c:v>-36.734147306300002</c:v>
                </c:pt>
                <c:pt idx="37">
                  <c:v>-33.739829743199998</c:v>
                </c:pt>
                <c:pt idx="38">
                  <c:v>-30.747045437699999</c:v>
                </c:pt>
                <c:pt idx="39">
                  <c:v>-27.7564518764</c:v>
                </c:pt>
                <c:pt idx="40">
                  <c:v>-24.765858315000003</c:v>
                </c:pt>
                <c:pt idx="41">
                  <c:v>-21.7779564796</c:v>
                </c:pt>
                <c:pt idx="42">
                  <c:v>-18.7905691297</c:v>
                </c:pt>
                <c:pt idx="43">
                  <c:v>-15.80387436</c:v>
                </c:pt>
                <c:pt idx="44">
                  <c:v>-12.8190777674</c:v>
                </c:pt>
                <c:pt idx="45">
                  <c:v>-9.834281174860001</c:v>
                </c:pt>
                <c:pt idx="46">
                  <c:v>-6.8524741344499995</c:v>
                </c:pt>
                <c:pt idx="47">
                  <c:v>-3.8707252684100002</c:v>
                </c:pt>
                <c:pt idx="48">
                  <c:v>-1.75261971753</c:v>
                </c:pt>
                <c:pt idx="49">
                  <c:v>-0.86876935876700001</c:v>
                </c:pt>
                <c:pt idx="50">
                  <c:v>1.5081000000000001E-2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20048"/>
        <c:axId val="1876622224"/>
      </c:scatterChart>
      <c:valAx>
        <c:axId val="187662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Axial Strain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22224"/>
        <c:crosses val="autoZero"/>
        <c:crossBetween val="midCat"/>
      </c:valAx>
      <c:valAx>
        <c:axId val="18766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Axial Stress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2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Sheet1!$E$1</c:f>
              <c:strCache>
                <c:ptCount val="1"/>
                <c:pt idx="0">
                  <c:v>LE11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Sheet1!$E$2:$E$1048576</c:f>
              <c:numCache>
                <c:formatCode>0.00E+00</c:formatCode>
                <c:ptCount val="1048575"/>
                <c:pt idx="0" formatCode="General">
                  <c:v>-9.8133541177999992E-4</c:v>
                </c:pt>
                <c:pt idx="1">
                  <c:v>-8.1223980754899997E-4</c:v>
                </c:pt>
                <c:pt idx="2">
                  <c:v>-6.4314420331899999E-4</c:v>
                </c:pt>
                <c:pt idx="3">
                  <c:v>-4.6841268736500002E-4</c:v>
                </c:pt>
                <c:pt idx="4">
                  <c:v>-2.8420769342200002E-4</c:v>
                </c:pt>
                <c:pt idx="5">
                  <c:v>-1.00002699478E-4</c:v>
                </c:pt>
                <c:pt idx="6">
                  <c:v>7.3122647934299999E-5</c:v>
                </c:pt>
                <c:pt idx="7">
                  <c:v>2.41991475571E-4</c:v>
                </c:pt>
                <c:pt idx="8">
                  <c:v>4.11950037592E-4</c:v>
                </c:pt>
                <c:pt idx="9">
                  <c:v>5.8379289272700004E-4</c:v>
                </c:pt>
                <c:pt idx="10">
                  <c:v>7.5563574786299999E-4</c:v>
                </c:pt>
                <c:pt idx="11">
                  <c:v>9.3013122675699995E-4</c:v>
                </c:pt>
                <c:pt idx="12">
                  <c:v>1.1056794407E-3</c:v>
                </c:pt>
                <c:pt idx="13">
                  <c:v>1.2808426693099999E-3</c:v>
                </c:pt>
                <c:pt idx="14">
                  <c:v>1.4553210846299999E-3</c:v>
                </c:pt>
                <c:pt idx="15">
                  <c:v>1.6297994999399999E-3</c:v>
                </c:pt>
                <c:pt idx="16">
                  <c:v>1.8554677094899999E-3</c:v>
                </c:pt>
                <c:pt idx="17">
                  <c:v>2.10211014185E-3</c:v>
                </c:pt>
                <c:pt idx="18">
                  <c:v>2.3516966178300002E-3</c:v>
                </c:pt>
                <c:pt idx="19">
                  <c:v>2.6147108457500001E-3</c:v>
                </c:pt>
                <c:pt idx="20">
                  <c:v>2.8777250736599998E-3</c:v>
                </c:pt>
                <c:pt idx="21">
                  <c:v>3.11530957956E-3</c:v>
                </c:pt>
                <c:pt idx="22">
                  <c:v>3.3490109355899999E-3</c:v>
                </c:pt>
                <c:pt idx="23">
                  <c:v>3.4948410382499998E-3</c:v>
                </c:pt>
                <c:pt idx="24">
                  <c:v>3.5449992112300001E-3</c:v>
                </c:pt>
                <c:pt idx="25">
                  <c:v>3.5951573842100001E-3</c:v>
                </c:pt>
                <c:pt idx="26">
                  <c:v>3.5701612669400001E-3</c:v>
                </c:pt>
                <c:pt idx="27">
                  <c:v>3.5217363137700001E-3</c:v>
                </c:pt>
                <c:pt idx="28">
                  <c:v>3.4375872335600001E-3</c:v>
                </c:pt>
                <c:pt idx="29">
                  <c:v>3.3030422388500001E-3</c:v>
                </c:pt>
                <c:pt idx="30">
                  <c:v>3.16849724414E-3</c:v>
                </c:pt>
                <c:pt idx="31">
                  <c:v>3.0006503650400001E-3</c:v>
                </c:pt>
                <c:pt idx="32">
                  <c:v>2.82657335661E-3</c:v>
                </c:pt>
                <c:pt idx="33">
                  <c:v>2.6523565469299998E-3</c:v>
                </c:pt>
                <c:pt idx="34">
                  <c:v>2.4777622584899999E-3</c:v>
                </c:pt>
                <c:pt idx="35">
                  <c:v>2.3031679700599998E-3</c:v>
                </c:pt>
                <c:pt idx="36">
                  <c:v>2.1290762156100001E-3</c:v>
                </c:pt>
                <c:pt idx="37">
                  <c:v>1.9549926858000001E-3</c:v>
                </c:pt>
                <c:pt idx="38">
                  <c:v>1.7809346363400001E-3</c:v>
                </c:pt>
                <c:pt idx="39">
                  <c:v>1.60691299365E-3</c:v>
                </c:pt>
                <c:pt idx="40">
                  <c:v>1.4328913509499999E-3</c:v>
                </c:pt>
                <c:pt idx="41">
                  <c:v>1.25896084314E-3</c:v>
                </c:pt>
                <c:pt idx="42">
                  <c:v>1.08504775448E-3</c:v>
                </c:pt>
                <c:pt idx="43">
                  <c:v>9.1120650904900002E-4</c:v>
                </c:pt>
                <c:pt idx="44">
                  <c:v>7.3756216670199995E-4</c:v>
                </c:pt>
                <c:pt idx="45">
                  <c:v>5.6391782435400003E-4</c:v>
                </c:pt>
                <c:pt idx="46">
                  <c:v>3.9035124375399999E-4</c:v>
                </c:pt>
                <c:pt idx="47">
                  <c:v>2.1678617633600001E-4</c:v>
                </c:pt>
                <c:pt idx="48">
                  <c:v>-2.85923778466E-6</c:v>
                </c:pt>
                <c:pt idx="49">
                  <c:v>-2.8835927750600003E-4</c:v>
                </c:pt>
                <c:pt idx="50">
                  <c:v>-5.7385931722799997E-4</c:v>
                </c:pt>
              </c:numCache>
            </c:numRef>
          </c:xVal>
          <c:yVal>
            <c:numRef>
              <c:f>Sheet1!$B$2:$B$1048576</c:f>
              <c:numCache>
                <c:formatCode>General</c:formatCode>
                <c:ptCount val="1048575"/>
                <c:pt idx="0">
                  <c:v>-10000034</c:v>
                </c:pt>
                <c:pt idx="1">
                  <c:v>-10043069.520199999</c:v>
                </c:pt>
                <c:pt idx="2">
                  <c:v>-10086105.0403</c:v>
                </c:pt>
                <c:pt idx="3">
                  <c:v>-10072491.498500001</c:v>
                </c:pt>
                <c:pt idx="4">
                  <c:v>-9963655.8049100004</c:v>
                </c:pt>
                <c:pt idx="5">
                  <c:v>-9854820.1112799998</c:v>
                </c:pt>
                <c:pt idx="6">
                  <c:v>-9859952.5272000004</c:v>
                </c:pt>
                <c:pt idx="7">
                  <c:v>-9908868.6063100006</c:v>
                </c:pt>
                <c:pt idx="8">
                  <c:v>-9947461.0478300005</c:v>
                </c:pt>
                <c:pt idx="9">
                  <c:v>-9968202.5712499991</c:v>
                </c:pt>
                <c:pt idx="10">
                  <c:v>-9988944.0946699996</c:v>
                </c:pt>
                <c:pt idx="11">
                  <c:v>-9983461.2826099992</c:v>
                </c:pt>
                <c:pt idx="12">
                  <c:v>-9967570.9346099999</c:v>
                </c:pt>
                <c:pt idx="13">
                  <c:v>-9956664.4703000002</c:v>
                </c:pt>
                <c:pt idx="14">
                  <c:v>-9954623.3564999998</c:v>
                </c:pt>
                <c:pt idx="15">
                  <c:v>-9952582.2426900007</c:v>
                </c:pt>
                <c:pt idx="16">
                  <c:v>-9992509.0312399995</c:v>
                </c:pt>
                <c:pt idx="17">
                  <c:v>-10049631.515699999</c:v>
                </c:pt>
                <c:pt idx="18">
                  <c:v>-10105215.6491</c:v>
                </c:pt>
                <c:pt idx="19">
                  <c:v>-10153783.379799999</c:v>
                </c:pt>
                <c:pt idx="20">
                  <c:v>-10202351.1106</c:v>
                </c:pt>
                <c:pt idx="21">
                  <c:v>-10102356.456599999</c:v>
                </c:pt>
                <c:pt idx="22">
                  <c:v>-9979676.1435800008</c:v>
                </c:pt>
                <c:pt idx="23">
                  <c:v>-9944117.8310800008</c:v>
                </c:pt>
                <c:pt idx="24">
                  <c:v>-10003415.681299999</c:v>
                </c:pt>
                <c:pt idx="25">
                  <c:v>-10062713.531500001</c:v>
                </c:pt>
                <c:pt idx="26">
                  <c:v>-10070632.947799999</c:v>
                </c:pt>
                <c:pt idx="27">
                  <c:v>-10062535.4888</c:v>
                </c:pt>
                <c:pt idx="28">
                  <c:v>-10055618.1064</c:v>
                </c:pt>
                <c:pt idx="29">
                  <c:v>-10050365.454500001</c:v>
                </c:pt>
                <c:pt idx="30">
                  <c:v>-10045112.8025</c:v>
                </c:pt>
                <c:pt idx="31">
                  <c:v>-10040673.542400001</c:v>
                </c:pt>
                <c:pt idx="32">
                  <c:v>-10036386.4518</c:v>
                </c:pt>
                <c:pt idx="33">
                  <c:v>-10033835.200300001</c:v>
                </c:pt>
                <c:pt idx="34">
                  <c:v>-10035970.9047</c:v>
                </c:pt>
                <c:pt idx="35">
                  <c:v>-10038106.609200001</c:v>
                </c:pt>
                <c:pt idx="36">
                  <c:v>-10037042.4146</c:v>
                </c:pt>
                <c:pt idx="37">
                  <c:v>-10035925.8495</c:v>
                </c:pt>
                <c:pt idx="38">
                  <c:v>-10035410.019300001</c:v>
                </c:pt>
                <c:pt idx="39">
                  <c:v>-10035752.529200001</c:v>
                </c:pt>
                <c:pt idx="40">
                  <c:v>-10036095.039100001</c:v>
                </c:pt>
                <c:pt idx="41">
                  <c:v>-10036667.649599999</c:v>
                </c:pt>
                <c:pt idx="42">
                  <c:v>-10037284.240599999</c:v>
                </c:pt>
                <c:pt idx="43">
                  <c:v>-10037704.6655</c:v>
                </c:pt>
                <c:pt idx="44">
                  <c:v>-10037587.451400001</c:v>
                </c:pt>
                <c:pt idx="45">
                  <c:v>-10037470.237400001</c:v>
                </c:pt>
                <c:pt idx="46">
                  <c:v>-10037680.657400001</c:v>
                </c:pt>
                <c:pt idx="47">
                  <c:v>-10037897.4529</c:v>
                </c:pt>
                <c:pt idx="48">
                  <c:v>-10034234.9617</c:v>
                </c:pt>
                <c:pt idx="49">
                  <c:v>-10025028.480900001</c:v>
                </c:pt>
                <c:pt idx="50">
                  <c:v>-10015822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Sheet2!$E$2:$E$52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-4.8199794533900002E-4</c:v>
                </c:pt>
                <c:pt idx="2">
                  <c:v>-2.8105670087000002E-4</c:v>
                </c:pt>
                <c:pt idx="3">
                  <c:v>-5.82779362428E-5</c:v>
                </c:pt>
                <c:pt idx="4">
                  <c:v>2.0311092515200001E-4</c:v>
                </c:pt>
                <c:pt idx="5">
                  <c:v>5.3198059267600001E-4</c:v>
                </c:pt>
                <c:pt idx="6">
                  <c:v>9.2720452899299995E-4</c:v>
                </c:pt>
                <c:pt idx="7">
                  <c:v>1.4232901212500001E-3</c:v>
                </c:pt>
                <c:pt idx="8">
                  <c:v>1.9143462570499999E-3</c:v>
                </c:pt>
                <c:pt idx="9">
                  <c:v>2.4236088271100001E-3</c:v>
                </c:pt>
                <c:pt idx="10">
                  <c:v>2.96599115045E-3</c:v>
                </c:pt>
                <c:pt idx="11">
                  <c:v>3.5584826338899999E-3</c:v>
                </c:pt>
                <c:pt idx="12" formatCode="General">
                  <c:v>4.1411541947900003E-3</c:v>
                </c:pt>
                <c:pt idx="13" formatCode="General">
                  <c:v>4.78115938597E-3</c:v>
                </c:pt>
                <c:pt idx="14" formatCode="General">
                  <c:v>5.4610252567199999E-3</c:v>
                </c:pt>
                <c:pt idx="15" formatCode="General">
                  <c:v>6.2256033637600001E-3</c:v>
                </c:pt>
                <c:pt idx="16">
                  <c:v>6.9868167726500003E-3</c:v>
                </c:pt>
                <c:pt idx="17">
                  <c:v>7.7890229437600003E-3</c:v>
                </c:pt>
                <c:pt idx="18">
                  <c:v>8.5264381468999999E-3</c:v>
                </c:pt>
                <c:pt idx="19">
                  <c:v>9.3345669389800004E-3</c:v>
                </c:pt>
                <c:pt idx="20">
                  <c:v>1.0173965484399999E-2</c:v>
                </c:pt>
                <c:pt idx="21">
                  <c:v>1.09514678703E-2</c:v>
                </c:pt>
                <c:pt idx="22">
                  <c:v>1.1636251812999999E-2</c:v>
                </c:pt>
                <c:pt idx="23">
                  <c:v>1.21462446038E-2</c:v>
                </c:pt>
                <c:pt idx="24">
                  <c:v>1.24746279719E-2</c:v>
                </c:pt>
                <c:pt idx="25">
                  <c:v>1.2650648204500001E-2</c:v>
                </c:pt>
                <c:pt idx="26">
                  <c:v>1.2649162412899999E-2</c:v>
                </c:pt>
                <c:pt idx="27">
                  <c:v>1.2508288191499999E-2</c:v>
                </c:pt>
                <c:pt idx="28">
                  <c:v>1.22141379888E-2</c:v>
                </c:pt>
                <c:pt idx="29">
                  <c:v>1.1769263026099999E-2</c:v>
                </c:pt>
                <c:pt idx="30">
                  <c:v>1.1180701724699999E-2</c:v>
                </c:pt>
                <c:pt idx="31">
                  <c:v>1.04744708714E-2</c:v>
                </c:pt>
                <c:pt idx="32">
                  <c:v>9.7435221255399995E-3</c:v>
                </c:pt>
                <c:pt idx="33">
                  <c:v>9.0006728094400006E-3</c:v>
                </c:pt>
                <c:pt idx="34">
                  <c:v>8.2736479311700008E-3</c:v>
                </c:pt>
                <c:pt idx="35">
                  <c:v>7.5365947790100004E-3</c:v>
                </c:pt>
                <c:pt idx="36">
                  <c:v>6.7950988197599997E-3</c:v>
                </c:pt>
                <c:pt idx="37">
                  <c:v>6.1036810316300004E-3</c:v>
                </c:pt>
                <c:pt idx="38">
                  <c:v>5.4213661359099998E-3</c:v>
                </c:pt>
                <c:pt idx="39">
                  <c:v>4.7344780408E-3</c:v>
                </c:pt>
                <c:pt idx="40">
                  <c:v>4.0802947750200004E-3</c:v>
                </c:pt>
                <c:pt idx="41">
                  <c:v>3.4631338344500002E-3</c:v>
                </c:pt>
                <c:pt idx="42">
                  <c:v>2.87275758953E-3</c:v>
                </c:pt>
                <c:pt idx="43">
                  <c:v>2.3051563199300001E-3</c:v>
                </c:pt>
                <c:pt idx="44">
                  <c:v>1.7656723168700001E-3</c:v>
                </c:pt>
                <c:pt idx="45">
                  <c:v>1.2727737445799999E-3</c:v>
                </c:pt>
                <c:pt idx="46">
                  <c:v>8.0157499612900003E-4</c:v>
                </c:pt>
                <c:pt idx="47">
                  <c:v>3.6674549510499999E-4</c:v>
                </c:pt>
                <c:pt idx="48">
                  <c:v>-1.15867582281E-5</c:v>
                </c:pt>
                <c:pt idx="49">
                  <c:v>-3.0999778091899999E-4</c:v>
                </c:pt>
                <c:pt idx="50">
                  <c:v>-5.44898826024E-4</c:v>
                </c:pt>
              </c:numCache>
            </c:numRef>
          </c:xVal>
          <c:yVal>
            <c:numRef>
              <c:f>Sheet2!$B$2:$B$52</c:f>
              <c:numCache>
                <c:formatCode>General</c:formatCode>
                <c:ptCount val="51"/>
                <c:pt idx="0" formatCode="0.00E+00">
                  <c:v>-10000000</c:v>
                </c:pt>
                <c:pt idx="1">
                  <c:v>-10422651.8935</c:v>
                </c:pt>
                <c:pt idx="2">
                  <c:v>-10431835.5338</c:v>
                </c:pt>
                <c:pt idx="3">
                  <c:v>-10443934.9538</c:v>
                </c:pt>
                <c:pt idx="4">
                  <c:v>-10473535.717900001</c:v>
                </c:pt>
                <c:pt idx="5">
                  <c:v>-10426083.2886</c:v>
                </c:pt>
                <c:pt idx="6">
                  <c:v>-10526555.444800001</c:v>
                </c:pt>
                <c:pt idx="7">
                  <c:v>-10641729.374199999</c:v>
                </c:pt>
                <c:pt idx="8">
                  <c:v>-10677059.472899999</c:v>
                </c:pt>
                <c:pt idx="9">
                  <c:v>-10621364.540100001</c:v>
                </c:pt>
                <c:pt idx="10">
                  <c:v>-10522714.3134</c:v>
                </c:pt>
                <c:pt idx="11">
                  <c:v>-10504755.004899999</c:v>
                </c:pt>
                <c:pt idx="12">
                  <c:v>-10458847.8693</c:v>
                </c:pt>
                <c:pt idx="13">
                  <c:v>-10496209.1449</c:v>
                </c:pt>
                <c:pt idx="14">
                  <c:v>-10563932.531400001</c:v>
                </c:pt>
                <c:pt idx="15">
                  <c:v>-10567825.9976</c:v>
                </c:pt>
                <c:pt idx="16">
                  <c:v>-10584521.3673</c:v>
                </c:pt>
                <c:pt idx="17">
                  <c:v>-10543607.2656</c:v>
                </c:pt>
                <c:pt idx="18">
                  <c:v>-10545795.487500001</c:v>
                </c:pt>
                <c:pt idx="19">
                  <c:v>-10621486.9308</c:v>
                </c:pt>
                <c:pt idx="20">
                  <c:v>-10533437.610200001</c:v>
                </c:pt>
                <c:pt idx="21">
                  <c:v>-10458099.2108</c:v>
                </c:pt>
                <c:pt idx="22">
                  <c:v>-10311177.719599999</c:v>
                </c:pt>
                <c:pt idx="23">
                  <c:v>-10145026.312799999</c:v>
                </c:pt>
                <c:pt idx="24">
                  <c:v>-10020470.753900001</c:v>
                </c:pt>
                <c:pt idx="25">
                  <c:v>-9842637.2926899996</c:v>
                </c:pt>
                <c:pt idx="26">
                  <c:v>-9730681.1544899996</c:v>
                </c:pt>
                <c:pt idx="27">
                  <c:v>-9589509.1173100006</c:v>
                </c:pt>
                <c:pt idx="28">
                  <c:v>-9442485.3002499994</c:v>
                </c:pt>
                <c:pt idx="29">
                  <c:v>-9306379.1569299996</c:v>
                </c:pt>
                <c:pt idx="30">
                  <c:v>-9148665.4974499997</c:v>
                </c:pt>
                <c:pt idx="31">
                  <c:v>-9089167.4653399996</c:v>
                </c:pt>
                <c:pt idx="32">
                  <c:v>-9077479.0414899997</c:v>
                </c:pt>
                <c:pt idx="33">
                  <c:v>-9066048.6300700009</c:v>
                </c:pt>
                <c:pt idx="34">
                  <c:v>-9065638.3222100008</c:v>
                </c:pt>
                <c:pt idx="35">
                  <c:v>-9051037.1030499991</c:v>
                </c:pt>
                <c:pt idx="36">
                  <c:v>-9049720.0201099999</c:v>
                </c:pt>
                <c:pt idx="37">
                  <c:v>-9056347.7504500002</c:v>
                </c:pt>
                <c:pt idx="38">
                  <c:v>-9058396.4373499993</c:v>
                </c:pt>
                <c:pt idx="39">
                  <c:v>-9068514.8484199997</c:v>
                </c:pt>
                <c:pt idx="40">
                  <c:v>-9074015.3074999992</c:v>
                </c:pt>
                <c:pt idx="41">
                  <c:v>-9098062.8582000006</c:v>
                </c:pt>
                <c:pt idx="42">
                  <c:v>-9131709.3967300002</c:v>
                </c:pt>
                <c:pt idx="43">
                  <c:v>-9167398.2015799992</c:v>
                </c:pt>
                <c:pt idx="44">
                  <c:v>-9231409.9640900008</c:v>
                </c:pt>
                <c:pt idx="45">
                  <c:v>-9267647.9953799993</c:v>
                </c:pt>
                <c:pt idx="46">
                  <c:v>-9335959.8316399995</c:v>
                </c:pt>
                <c:pt idx="47">
                  <c:v>-9360065.1509399991</c:v>
                </c:pt>
                <c:pt idx="48">
                  <c:v>-9413771.1231800001</c:v>
                </c:pt>
                <c:pt idx="49">
                  <c:v>-9558107.5417999998</c:v>
                </c:pt>
                <c:pt idx="50">
                  <c:v>-9619481.2282500006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32016"/>
        <c:axId val="1876641264"/>
      </c:scatterChart>
      <c:valAx>
        <c:axId val="187663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41264"/>
        <c:crosses val="autoZero"/>
        <c:crossBetween val="midCat"/>
      </c:valAx>
      <c:valAx>
        <c:axId val="18766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3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Sheet1!$E$1</c:f>
              <c:strCache>
                <c:ptCount val="1"/>
                <c:pt idx="0">
                  <c:v>LE11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Sheet1!$G$2:$G$1048576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xVal>
          <c:yVal>
            <c:numRef>
              <c:f>Sheet1!$D$2:$D$1048576</c:f>
              <c:numCache>
                <c:formatCode>0.00E+00</c:formatCode>
                <c:ptCount val="104857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Sheet2!$G$2:$G$52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-2.61501594339E-5</c:v>
                </c:pt>
                <c:pt idx="2">
                  <c:v>-2.8808622994400001E-5</c:v>
                </c:pt>
                <c:pt idx="3">
                  <c:v>-4.11670212256E-5</c:v>
                </c:pt>
                <c:pt idx="4">
                  <c:v>-6.9014826516299995E-5</c:v>
                </c:pt>
                <c:pt idx="5">
                  <c:v>-9.8492740259199999E-5</c:v>
                </c:pt>
                <c:pt idx="6">
                  <c:v>-1.27295097879E-4</c:v>
                </c:pt>
                <c:pt idx="7">
                  <c:v>-1.55536565197E-4</c:v>
                </c:pt>
                <c:pt idx="8">
                  <c:v>-1.8503178093899999E-4</c:v>
                </c:pt>
                <c:pt idx="9">
                  <c:v>-2.0500346093500001E-4</c:v>
                </c:pt>
                <c:pt idx="10">
                  <c:v>-2.23805267011E-4</c:v>
                </c:pt>
                <c:pt idx="11">
                  <c:v>-2.41778739E-4</c:v>
                </c:pt>
                <c:pt idx="12">
                  <c:v>-2.6461598764E-4</c:v>
                </c:pt>
                <c:pt idx="13">
                  <c:v>-2.93728361273E-4</c:v>
                </c:pt>
                <c:pt idx="14">
                  <c:v>-3.3320983663399998E-4</c:v>
                </c:pt>
                <c:pt idx="15">
                  <c:v>-3.8226371418000001E-4</c:v>
                </c:pt>
                <c:pt idx="16">
                  <c:v>-4.3915089213200002E-4</c:v>
                </c:pt>
                <c:pt idx="17">
                  <c:v>-4.8321322042799999E-4</c:v>
                </c:pt>
                <c:pt idx="18">
                  <c:v>-5.2685176127E-4</c:v>
                </c:pt>
                <c:pt idx="19">
                  <c:v>-5.8679367163900001E-4</c:v>
                </c:pt>
                <c:pt idx="20">
                  <c:v>-6.4753617726999999E-4</c:v>
                </c:pt>
                <c:pt idx="21">
                  <c:v>-7.0779904440200004E-4</c:v>
                </c:pt>
                <c:pt idx="22">
                  <c:v>-7.6365364207699995E-4</c:v>
                </c:pt>
                <c:pt idx="23">
                  <c:v>-8.01727113965E-4</c:v>
                </c:pt>
                <c:pt idx="24">
                  <c:v>-8.2018578661400003E-4</c:v>
                </c:pt>
                <c:pt idx="25">
                  <c:v>-8.2594860096499995E-4</c:v>
                </c:pt>
                <c:pt idx="26">
                  <c:v>-8.3073597330999996E-4</c:v>
                </c:pt>
                <c:pt idx="27">
                  <c:v>-8.2830712317300003E-4</c:v>
                </c:pt>
                <c:pt idx="28">
                  <c:v>-8.1929985288899999E-4</c:v>
                </c:pt>
                <c:pt idx="29">
                  <c:v>-7.9832286500900005E-4</c:v>
                </c:pt>
                <c:pt idx="30">
                  <c:v>-7.7194633528100004E-4</c:v>
                </c:pt>
                <c:pt idx="31">
                  <c:v>-7.3619945332699995E-4</c:v>
                </c:pt>
                <c:pt idx="32">
                  <c:v>-6.97869097927E-4</c:v>
                </c:pt>
                <c:pt idx="33">
                  <c:v>-6.5661711281200005E-4</c:v>
                </c:pt>
                <c:pt idx="34">
                  <c:v>-6.1748240832200005E-4</c:v>
                </c:pt>
                <c:pt idx="35">
                  <c:v>-5.8155773709600003E-4</c:v>
                </c:pt>
                <c:pt idx="36">
                  <c:v>-5.4365696002200005E-4</c:v>
                </c:pt>
                <c:pt idx="37">
                  <c:v>-5.0024939525400002E-4</c:v>
                </c:pt>
                <c:pt idx="38">
                  <c:v>-4.5862425049799998E-4</c:v>
                </c:pt>
                <c:pt idx="39">
                  <c:v>-4.10193604874E-4</c:v>
                </c:pt>
                <c:pt idx="40">
                  <c:v>-3.6418337583500002E-4</c:v>
                </c:pt>
                <c:pt idx="41">
                  <c:v>-3.1946891430499998E-4</c:v>
                </c:pt>
                <c:pt idx="42">
                  <c:v>-2.73723376732E-4</c:v>
                </c:pt>
                <c:pt idx="43">
                  <c:v>-2.3923765304499999E-4</c:v>
                </c:pt>
                <c:pt idx="44">
                  <c:v>-2.0186625138100001E-4</c:v>
                </c:pt>
                <c:pt idx="45">
                  <c:v>-1.6783910395499999E-4</c:v>
                </c:pt>
                <c:pt idx="46">
                  <c:v>-1.3769341597700001E-4</c:v>
                </c:pt>
                <c:pt idx="47">
                  <c:v>-1.0722396200600001E-4</c:v>
                </c:pt>
                <c:pt idx="48">
                  <c:v>-7.77787611903E-5</c:v>
                </c:pt>
                <c:pt idx="49">
                  <c:v>-5.0440012255100002E-5</c:v>
                </c:pt>
                <c:pt idx="50">
                  <c:v>-2.90731877419E-5</c:v>
                </c:pt>
              </c:numCache>
            </c:numRef>
          </c:xVal>
          <c:yVal>
            <c:numRef>
              <c:f>Sheet2!$D$2:$D$52</c:f>
              <c:numCache>
                <c:formatCode>General</c:formatCode>
                <c:ptCount val="51"/>
                <c:pt idx="0">
                  <c:v>0</c:v>
                </c:pt>
                <c:pt idx="1">
                  <c:v>-16006.873185099999</c:v>
                </c:pt>
                <c:pt idx="2">
                  <c:v>28680.941256099999</c:v>
                </c:pt>
                <c:pt idx="3">
                  <c:v>80608.471596999996</c:v>
                </c:pt>
                <c:pt idx="4">
                  <c:v>76994.700561200007</c:v>
                </c:pt>
                <c:pt idx="5">
                  <c:v>105732.521446</c:v>
                </c:pt>
                <c:pt idx="6">
                  <c:v>13572.569475</c:v>
                </c:pt>
                <c:pt idx="7">
                  <c:v>9825.1168137099994</c:v>
                </c:pt>
                <c:pt idx="8">
                  <c:v>-34334.910241400001</c:v>
                </c:pt>
                <c:pt idx="9">
                  <c:v>-47893.2003731</c:v>
                </c:pt>
                <c:pt idx="10">
                  <c:v>-62290.444873499997</c:v>
                </c:pt>
                <c:pt idx="11">
                  <c:v>-40532.613215700003</c:v>
                </c:pt>
                <c:pt idx="12">
                  <c:v>-53875.512037699998</c:v>
                </c:pt>
                <c:pt idx="13">
                  <c:v>-62972.677393799997</c:v>
                </c:pt>
                <c:pt idx="14">
                  <c:v>39778.073739599997</c:v>
                </c:pt>
                <c:pt idx="15">
                  <c:v>22779.741020500001</c:v>
                </c:pt>
                <c:pt idx="16">
                  <c:v>-1254.7682842700001</c:v>
                </c:pt>
                <c:pt idx="17">
                  <c:v>71064.208461400005</c:v>
                </c:pt>
                <c:pt idx="18">
                  <c:v>56888.453619400003</c:v>
                </c:pt>
                <c:pt idx="19">
                  <c:v>126843.681472</c:v>
                </c:pt>
                <c:pt idx="20">
                  <c:v>152276.81085099999</c:v>
                </c:pt>
                <c:pt idx="21">
                  <c:v>136925.515835</c:v>
                </c:pt>
                <c:pt idx="22">
                  <c:v>106371.750272</c:v>
                </c:pt>
                <c:pt idx="23">
                  <c:v>88719.276409800004</c:v>
                </c:pt>
                <c:pt idx="24">
                  <c:v>53034.665376999998</c:v>
                </c:pt>
                <c:pt idx="25">
                  <c:v>60197.141192900002</c:v>
                </c:pt>
                <c:pt idx="26">
                  <c:v>49272.321499899997</c:v>
                </c:pt>
                <c:pt idx="27">
                  <c:v>31383.1004722</c:v>
                </c:pt>
                <c:pt idx="28">
                  <c:v>11837.320526699999</c:v>
                </c:pt>
                <c:pt idx="29">
                  <c:v>1674.7803618999999</c:v>
                </c:pt>
                <c:pt idx="30">
                  <c:v>-28305.365866</c:v>
                </c:pt>
                <c:pt idx="31">
                  <c:v>-55396.143208499998</c:v>
                </c:pt>
                <c:pt idx="32">
                  <c:v>-75288.191314900003</c:v>
                </c:pt>
                <c:pt idx="33">
                  <c:v>-101434.36438</c:v>
                </c:pt>
                <c:pt idx="34">
                  <c:v>-124720.939874</c:v>
                </c:pt>
                <c:pt idx="35">
                  <c:v>-146739.995666</c:v>
                </c:pt>
                <c:pt idx="36">
                  <c:v>-176632.522237</c:v>
                </c:pt>
                <c:pt idx="37">
                  <c:v>-179836.31662200001</c:v>
                </c:pt>
                <c:pt idx="38">
                  <c:v>-172781.364975</c:v>
                </c:pt>
                <c:pt idx="39">
                  <c:v>-163086.81321699999</c:v>
                </c:pt>
                <c:pt idx="40">
                  <c:v>-153104.701635</c:v>
                </c:pt>
                <c:pt idx="41">
                  <c:v>-126080.075535</c:v>
                </c:pt>
                <c:pt idx="42">
                  <c:v>-114461.55475900001</c:v>
                </c:pt>
                <c:pt idx="43">
                  <c:v>-103352.0689</c:v>
                </c:pt>
                <c:pt idx="44">
                  <c:v>-100788.619318</c:v>
                </c:pt>
                <c:pt idx="45">
                  <c:v>-90911.058730300007</c:v>
                </c:pt>
                <c:pt idx="46">
                  <c:v>-82021.295409800005</c:v>
                </c:pt>
                <c:pt idx="47">
                  <c:v>-109139.854038</c:v>
                </c:pt>
                <c:pt idx="48">
                  <c:v>-157528.56544100001</c:v>
                </c:pt>
                <c:pt idx="49">
                  <c:v>-140988.92733100001</c:v>
                </c:pt>
                <c:pt idx="50">
                  <c:v>-116491.081777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38000"/>
        <c:axId val="1876641808"/>
      </c:scatterChart>
      <c:valAx>
        <c:axId val="187663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41808"/>
        <c:crosses val="autoZero"/>
        <c:crossBetween val="midCat"/>
      </c:valAx>
      <c:valAx>
        <c:axId val="187664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3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-3.9646675938199999E-4</c:v>
                </c:pt>
                <c:pt idx="2">
                  <c:v>-7.9001026463199997E-4</c:v>
                </c:pt>
                <c:pt idx="3">
                  <c:v>-1.1806220023099999E-3</c:v>
                </c:pt>
                <c:pt idx="4">
                  <c:v>-1.57163660282E-3</c:v>
                </c:pt>
                <c:pt idx="5">
                  <c:v>-1.9671630956500001E-3</c:v>
                </c:pt>
                <c:pt idx="6" formatCode="General">
                  <c:v>-2.3575076732099999E-3</c:v>
                </c:pt>
                <c:pt idx="7">
                  <c:v>-2.7437405338099998E-3</c:v>
                </c:pt>
                <c:pt idx="8" formatCode="General">
                  <c:v>-3.1256906262300001E-3</c:v>
                </c:pt>
                <c:pt idx="9">
                  <c:v>-3.51090515829E-3</c:v>
                </c:pt>
                <c:pt idx="10" formatCode="General">
                  <c:v>-3.9007093224499999E-3</c:v>
                </c:pt>
                <c:pt idx="11">
                  <c:v>-4.2943347767300001E-3</c:v>
                </c:pt>
                <c:pt idx="12" formatCode="General">
                  <c:v>-4.6813880568799997E-3</c:v>
                </c:pt>
                <c:pt idx="13">
                  <c:v>-5.0654445578100001E-3</c:v>
                </c:pt>
                <c:pt idx="14" formatCode="General">
                  <c:v>-5.4562017539600003E-3</c:v>
                </c:pt>
                <c:pt idx="15">
                  <c:v>-5.8421107684999999E-3</c:v>
                </c:pt>
                <c:pt idx="16" formatCode="General">
                  <c:v>-6.2272479344999999E-3</c:v>
                </c:pt>
                <c:pt idx="17">
                  <c:v>-6.6061161905899999E-3</c:v>
                </c:pt>
                <c:pt idx="18" formatCode="General">
                  <c:v>-6.9888143152400002E-3</c:v>
                </c:pt>
                <c:pt idx="19">
                  <c:v>-7.3784142208799999E-3</c:v>
                </c:pt>
                <c:pt idx="20" formatCode="General">
                  <c:v>-7.7680133977699999E-3</c:v>
                </c:pt>
                <c:pt idx="21">
                  <c:v>-8.1098298611700006E-3</c:v>
                </c:pt>
                <c:pt idx="22" formatCode="General">
                  <c:v>-8.3875106591799996E-3</c:v>
                </c:pt>
                <c:pt idx="23">
                  <c:v>-8.5793391341599991E-3</c:v>
                </c:pt>
                <c:pt idx="24" formatCode="General">
                  <c:v>-8.6918828053800003E-3</c:v>
                </c:pt>
                <c:pt idx="25">
                  <c:v>-8.7214687197599994E-3</c:v>
                </c:pt>
                <c:pt idx="26" formatCode="General">
                  <c:v>-8.6816741338400002E-3</c:v>
                </c:pt>
                <c:pt idx="27">
                  <c:v>-8.5645630904099997E-3</c:v>
                </c:pt>
                <c:pt idx="28" formatCode="General">
                  <c:v>-8.3702494795399995E-3</c:v>
                </c:pt>
                <c:pt idx="29">
                  <c:v>-8.0965587685499999E-3</c:v>
                </c:pt>
                <c:pt idx="30" formatCode="General">
                  <c:v>-7.7467368152900002E-3</c:v>
                </c:pt>
                <c:pt idx="31">
                  <c:v>-7.3573558934900002E-3</c:v>
                </c:pt>
                <c:pt idx="32" formatCode="General">
                  <c:v>-6.9685634245800002E-3</c:v>
                </c:pt>
                <c:pt idx="33">
                  <c:v>-6.5784922624699997E-3</c:v>
                </c:pt>
                <c:pt idx="34" formatCode="General">
                  <c:v>-6.1898444508499996E-3</c:v>
                </c:pt>
                <c:pt idx="35">
                  <c:v>-5.8041059184200001E-3</c:v>
                </c:pt>
                <c:pt idx="36" formatCode="General">
                  <c:v>-5.4188151755799998E-3</c:v>
                </c:pt>
                <c:pt idx="37">
                  <c:v>-5.0335250377300002E-3</c:v>
                </c:pt>
                <c:pt idx="38" formatCode="General">
                  <c:v>-4.6488917849700001E-3</c:v>
                </c:pt>
                <c:pt idx="39">
                  <c:v>-4.2608392979799998E-3</c:v>
                </c:pt>
                <c:pt idx="40" formatCode="General">
                  <c:v>-3.87478942226E-3</c:v>
                </c:pt>
                <c:pt idx="41">
                  <c:v>-3.4910581837599998E-3</c:v>
                </c:pt>
                <c:pt idx="42" formatCode="General">
                  <c:v>-3.1069035013400002E-3</c:v>
                </c:pt>
                <c:pt idx="43">
                  <c:v>-2.72441845647E-3</c:v>
                </c:pt>
                <c:pt idx="44" formatCode="General">
                  <c:v>-2.3392242531200002E-3</c:v>
                </c:pt>
                <c:pt idx="45">
                  <c:v>-1.95636488227E-3</c:v>
                </c:pt>
                <c:pt idx="46">
                  <c:v>-1.5703435537E-3</c:v>
                </c:pt>
                <c:pt idx="47">
                  <c:v>-1.1803501124900001E-3</c:v>
                </c:pt>
                <c:pt idx="48">
                  <c:v>-7.91654603777E-4</c:v>
                </c:pt>
                <c:pt idx="49">
                  <c:v>-3.96481391225E-4</c:v>
                </c:pt>
                <c:pt idx="50">
                  <c:v>2.63732800733E-6</c:v>
                </c:pt>
              </c:numCache>
            </c:numRef>
          </c:xVal>
          <c:yVal>
            <c:numRef>
              <c:f>Sheet2!$C$2:$C$52</c:f>
              <c:numCache>
                <c:formatCode>General</c:formatCode>
                <c:ptCount val="51"/>
                <c:pt idx="0" formatCode="0.00E+00">
                  <c:v>-5996138.1740899999</c:v>
                </c:pt>
                <c:pt idx="1">
                  <c:v>-9796138.1740899999</c:v>
                </c:pt>
                <c:pt idx="2">
                  <c:v>-14246395.166300001</c:v>
                </c:pt>
                <c:pt idx="3">
                  <c:v>-18354383.630800001</c:v>
                </c:pt>
                <c:pt idx="4">
                  <c:v>-22061920.759</c:v>
                </c:pt>
                <c:pt idx="5">
                  <c:v>-25217554.048500001</c:v>
                </c:pt>
                <c:pt idx="6">
                  <c:v>-27898760.287599999</c:v>
                </c:pt>
                <c:pt idx="7">
                  <c:v>-30000290.503400002</c:v>
                </c:pt>
                <c:pt idx="8">
                  <c:v>-32064254.271299999</c:v>
                </c:pt>
                <c:pt idx="9">
                  <c:v>-34100997.594499998</c:v>
                </c:pt>
                <c:pt idx="10">
                  <c:v>-36039318.451499999</c:v>
                </c:pt>
                <c:pt idx="11">
                  <c:v>-37874464.830899999</c:v>
                </c:pt>
                <c:pt idx="12">
                  <c:v>-39740337.575000003</c:v>
                </c:pt>
                <c:pt idx="13">
                  <c:v>-41473759.294299997</c:v>
                </c:pt>
                <c:pt idx="14">
                  <c:v>-43148461.2883</c:v>
                </c:pt>
                <c:pt idx="15">
                  <c:v>-44502825.478100002</c:v>
                </c:pt>
                <c:pt idx="16">
                  <c:v>-45960192.0207</c:v>
                </c:pt>
                <c:pt idx="17">
                  <c:v>-47030905.153499998</c:v>
                </c:pt>
                <c:pt idx="18">
                  <c:v>-48412467.116599999</c:v>
                </c:pt>
                <c:pt idx="19">
                  <c:v>-49619357.472499996</c:v>
                </c:pt>
                <c:pt idx="20">
                  <c:v>-50585197.157899998</c:v>
                </c:pt>
                <c:pt idx="21">
                  <c:v>-51391503.015100002</c:v>
                </c:pt>
                <c:pt idx="22">
                  <c:v>-51745077.024599999</c:v>
                </c:pt>
                <c:pt idx="23">
                  <c:v>-51856653.3741</c:v>
                </c:pt>
                <c:pt idx="24">
                  <c:v>-51819697.365999997</c:v>
                </c:pt>
                <c:pt idx="25">
                  <c:v>-51449971.918099999</c:v>
                </c:pt>
                <c:pt idx="26">
                  <c:v>-51007303.086400002</c:v>
                </c:pt>
                <c:pt idx="27">
                  <c:v>-50240462.471699998</c:v>
                </c:pt>
                <c:pt idx="28">
                  <c:v>-49163310.086499996</c:v>
                </c:pt>
                <c:pt idx="29">
                  <c:v>-47820023.068800002</c:v>
                </c:pt>
                <c:pt idx="30">
                  <c:v>-46125834.297700003</c:v>
                </c:pt>
                <c:pt idx="31">
                  <c:v>-44450860.785300002</c:v>
                </c:pt>
                <c:pt idx="32">
                  <c:v>-42858222.748300001</c:v>
                </c:pt>
                <c:pt idx="33">
                  <c:v>-41292664.1523</c:v>
                </c:pt>
                <c:pt idx="34">
                  <c:v>-39684144.137599997</c:v>
                </c:pt>
                <c:pt idx="35">
                  <c:v>-38123811.9943</c:v>
                </c:pt>
                <c:pt idx="36">
                  <c:v>-36578387.919</c:v>
                </c:pt>
                <c:pt idx="37">
                  <c:v>-34864624.159699999</c:v>
                </c:pt>
                <c:pt idx="38">
                  <c:v>-33119090.309900001</c:v>
                </c:pt>
                <c:pt idx="39">
                  <c:v>-31382087.408399999</c:v>
                </c:pt>
                <c:pt idx="40">
                  <c:v>-29560159.211100001</c:v>
                </c:pt>
                <c:pt idx="41">
                  <c:v>-27677177.615499999</c:v>
                </c:pt>
                <c:pt idx="42">
                  <c:v>-25760112.385000002</c:v>
                </c:pt>
                <c:pt idx="43">
                  <c:v>-23852508.799699999</c:v>
                </c:pt>
                <c:pt idx="44">
                  <c:v>-21841253.713</c:v>
                </c:pt>
                <c:pt idx="45">
                  <c:v>-19648390.7236</c:v>
                </c:pt>
                <c:pt idx="46">
                  <c:v>-17337571.4582</c:v>
                </c:pt>
                <c:pt idx="47">
                  <c:v>-14782886.1927</c:v>
                </c:pt>
                <c:pt idx="48">
                  <c:v>-11957898.427999999</c:v>
                </c:pt>
                <c:pt idx="49">
                  <c:v>-8572455.2624299992</c:v>
                </c:pt>
                <c:pt idx="50">
                  <c:v>-4849523.3679299997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22768"/>
        <c:axId val="1876647248"/>
      </c:scatterChart>
      <c:valAx>
        <c:axId val="18766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47248"/>
        <c:crosses val="autoZero"/>
        <c:crossBetween val="midCat"/>
      </c:valAx>
      <c:valAx>
        <c:axId val="18766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2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Sheet7!$C$7</c:f>
              <c:strCache>
                <c:ptCount val="1"/>
                <c:pt idx="0">
                  <c:v>max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Sheet7!$A$8:$A$18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1.265E-2</c:v>
                </c:pt>
              </c:numCache>
            </c:numRef>
          </c:xVal>
          <c:yVal>
            <c:numRef>
              <c:f>Sheet7!$C$8:$C$18</c:f>
              <c:numCache>
                <c:formatCode>0.00E+00</c:formatCode>
                <c:ptCount val="11"/>
                <c:pt idx="0">
                  <c:v>2280.1607448177647</c:v>
                </c:pt>
                <c:pt idx="1">
                  <c:v>556.03627730533321</c:v>
                </c:pt>
                <c:pt idx="2">
                  <c:v>324.14753776135478</c:v>
                </c:pt>
                <c:pt idx="3">
                  <c:v>232.65125429700251</c:v>
                </c:pt>
                <c:pt idx="4">
                  <c:v>183.88315793765165</c:v>
                </c:pt>
                <c:pt idx="5">
                  <c:v>153.73060029978782</c:v>
                </c:pt>
                <c:pt idx="6">
                  <c:v>133.36483286467129</c:v>
                </c:pt>
                <c:pt idx="7">
                  <c:v>118.78933373221305</c:v>
                </c:pt>
                <c:pt idx="8">
                  <c:v>107.93316523654865</c:v>
                </c:pt>
                <c:pt idx="9">
                  <c:v>99.617327114530312</c:v>
                </c:pt>
                <c:pt idx="10">
                  <c:v>78.168620882188719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31472"/>
        <c:axId val="1876643984"/>
      </c:scatterChart>
      <c:valAx>
        <c:axId val="187663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43984"/>
        <c:crosses val="autoZero"/>
        <c:crossBetween val="midCat"/>
      </c:valAx>
      <c:valAx>
        <c:axId val="18766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3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Sheet7!$O$7</c:f>
              <c:strCache>
                <c:ptCount val="1"/>
                <c:pt idx="0">
                  <c:v>max 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Sheet7!$M$8:$M$18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5.0000000000000002E-5</c:v>
                </c:pt>
                <c:pt idx="2" formatCode="General">
                  <c:v>1E-4</c:v>
                </c:pt>
                <c:pt idx="3">
                  <c:v>1.4999999999999999E-4</c:v>
                </c:pt>
                <c:pt idx="4" formatCode="General">
                  <c:v>2.0000000000000001E-4</c:v>
                </c:pt>
                <c:pt idx="5">
                  <c:v>2.5000000000000001E-4</c:v>
                </c:pt>
                <c:pt idx="6" formatCode="General">
                  <c:v>2.9999999999999997E-4</c:v>
                </c:pt>
                <c:pt idx="7">
                  <c:v>3.5E-4</c:v>
                </c:pt>
                <c:pt idx="8" formatCode="General">
                  <c:v>4.0000000000000002E-4</c:v>
                </c:pt>
                <c:pt idx="9">
                  <c:v>4.4999999999999999E-4</c:v>
                </c:pt>
                <c:pt idx="10" formatCode="General">
                  <c:v>5.0000000000000001E-4</c:v>
                </c:pt>
              </c:numCache>
            </c:numRef>
          </c:xVal>
          <c:yVal>
            <c:numRef>
              <c:f>Sheet7!$O$8:$O$18</c:f>
              <c:numCache>
                <c:formatCode>0.00E+00</c:formatCode>
                <c:ptCount val="11"/>
                <c:pt idx="0">
                  <c:v>3123.1080100135764</c:v>
                </c:pt>
                <c:pt idx="1">
                  <c:v>3215.228421866575</c:v>
                </c:pt>
                <c:pt idx="2">
                  <c:v>3289.9825904016461</c:v>
                </c:pt>
                <c:pt idx="3">
                  <c:v>3349.2487462530644</c:v>
                </c:pt>
                <c:pt idx="4">
                  <c:v>3395.0637787108462</c:v>
                </c:pt>
                <c:pt idx="5">
                  <c:v>3429.4296415014192</c:v>
                </c:pt>
                <c:pt idx="6">
                  <c:v>3454.198353328984</c:v>
                </c:pt>
                <c:pt idx="7">
                  <c:v>3471.0161906317358</c:v>
                </c:pt>
                <c:pt idx="8">
                  <c:v>3481.3072613232471</c:v>
                </c:pt>
                <c:pt idx="9">
                  <c:v>3486.2804922984969</c:v>
                </c:pt>
                <c:pt idx="10">
                  <c:v>3486.9487734779559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34736"/>
        <c:axId val="1876637456"/>
      </c:scatterChart>
      <c:valAx>
        <c:axId val="187663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37456"/>
        <c:crosses val="autoZero"/>
        <c:crossBetween val="midCat"/>
      </c:valAx>
      <c:valAx>
        <c:axId val="187663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3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Sheet7!$B$7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Sheet7!$A$8:$A$18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1.265E-2</c:v>
                </c:pt>
              </c:numCache>
            </c:numRef>
          </c:xVal>
          <c:yVal>
            <c:numRef>
              <c:f>Sheet7!$B$8:$B$18</c:f>
              <c:numCache>
                <c:formatCode>0.00E+00</c:formatCode>
                <c:ptCount val="11"/>
                <c:pt idx="0">
                  <c:v>3069959</c:v>
                </c:pt>
                <c:pt idx="1">
                  <c:v>5589106.6567157218</c:v>
                </c:pt>
                <c:pt idx="2">
                  <c:v>7595104.6500114677</c:v>
                </c:pt>
                <c:pt idx="3">
                  <c:v>9087952.9798872378</c:v>
                </c:pt>
                <c:pt idx="4">
                  <c:v>10067651.646343032</c:v>
                </c:pt>
                <c:pt idx="5">
                  <c:v>10534200.649378849</c:v>
                </c:pt>
                <c:pt idx="6">
                  <c:v>10487599.988994692</c:v>
                </c:pt>
                <c:pt idx="7">
                  <c:v>9927849.665190557</c:v>
                </c:pt>
                <c:pt idx="8">
                  <c:v>8854949.6779664457</c:v>
                </c:pt>
                <c:pt idx="9">
                  <c:v>7268900.0273223612</c:v>
                </c:pt>
                <c:pt idx="10">
                  <c:v>1000000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91760"/>
        <c:axId val="1876587952"/>
      </c:scatterChart>
      <c:valAx>
        <c:axId val="187659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87952"/>
        <c:crosses val="autoZero"/>
        <c:crossBetween val="midCat"/>
      </c:valAx>
      <c:valAx>
        <c:axId val="187658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9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Sheet8!$B$1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Sheet8!$A$2:$A$12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5.0000000000000002E-5</c:v>
                </c:pt>
                <c:pt idx="2" formatCode="General">
                  <c:v>1E-4</c:v>
                </c:pt>
                <c:pt idx="3">
                  <c:v>1.4999999999999999E-4</c:v>
                </c:pt>
                <c:pt idx="4" formatCode="General">
                  <c:v>2.0000000000000001E-4</c:v>
                </c:pt>
                <c:pt idx="5">
                  <c:v>2.5000000000000001E-4</c:v>
                </c:pt>
                <c:pt idx="6" formatCode="General">
                  <c:v>2.9999999999999997E-4</c:v>
                </c:pt>
                <c:pt idx="7">
                  <c:v>3.5E-4</c:v>
                </c:pt>
                <c:pt idx="8" formatCode="General">
                  <c:v>4.0000000000000002E-4</c:v>
                </c:pt>
                <c:pt idx="9">
                  <c:v>4.4999999999999999E-4</c:v>
                </c:pt>
                <c:pt idx="10" formatCode="General">
                  <c:v>4.567749E-4</c:v>
                </c:pt>
              </c:numCache>
            </c:numRef>
          </c:xVal>
          <c:yVal>
            <c:numRef>
              <c:f>Sheet8!$B$2:$B$12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0.14457041424484951</c:v>
                </c:pt>
                <c:pt idx="2">
                  <c:v>0.26823451095120932</c:v>
                </c:pt>
                <c:pt idx="3">
                  <c:v>0.37401637730311044</c:v>
                </c:pt>
                <c:pt idx="4">
                  <c:v>0.46450254847867944</c:v>
                </c:pt>
                <c:pt idx="5">
                  <c:v>0.54190533388013651</c:v>
                </c:pt>
                <c:pt idx="6">
                  <c:v>0.60811697574827517</c:v>
                </c:pt>
                <c:pt idx="7">
                  <c:v>0.66475596771259626</c:v>
                </c:pt>
                <c:pt idx="8">
                  <c:v>0.71320666851408865</c:v>
                </c:pt>
                <c:pt idx="9">
                  <c:v>0.75465318172882501</c:v>
                </c:pt>
                <c:pt idx="10">
                  <c:v>0.75978757437557254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Sheet8!$D$1</c:f>
              <c:strCache>
                <c:ptCount val="1"/>
                <c:pt idx="0">
                  <c:v>damage limit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5.0000000000000002E-5</c:v>
                </c:pt>
                <c:pt idx="2" formatCode="General">
                  <c:v>1E-4</c:v>
                </c:pt>
                <c:pt idx="3">
                  <c:v>1.4999999999999999E-4</c:v>
                </c:pt>
                <c:pt idx="4" formatCode="General">
                  <c:v>2.0000000000000001E-4</c:v>
                </c:pt>
                <c:pt idx="5">
                  <c:v>2.5000000000000001E-4</c:v>
                </c:pt>
                <c:pt idx="6" formatCode="General">
                  <c:v>2.9999999999999997E-4</c:v>
                </c:pt>
                <c:pt idx="7">
                  <c:v>3.5E-4</c:v>
                </c:pt>
                <c:pt idx="8" formatCode="General">
                  <c:v>4.0000000000000002E-4</c:v>
                </c:pt>
                <c:pt idx="9">
                  <c:v>4.4999999999999999E-4</c:v>
                </c:pt>
                <c:pt idx="10" formatCode="General">
                  <c:v>4.567749E-4</c:v>
                </c:pt>
              </c:numCache>
            </c:numRef>
          </c:xVal>
          <c:yVal>
            <c:numRef>
              <c:f>Sheet8!$D$2:$D$12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0.14850138224965012</c:v>
                </c:pt>
                <c:pt idx="2" formatCode="General">
                  <c:v>0.28034389298841955</c:v>
                </c:pt>
                <c:pt idx="3" formatCode="General">
                  <c:v>0.39489279400484123</c:v>
                </c:pt>
                <c:pt idx="4" formatCode="General">
                  <c:v>0.49284817545284826</c:v>
                </c:pt>
                <c:pt idx="5" formatCode="General">
                  <c:v>0.57567273011956144</c:v>
                </c:pt>
                <c:pt idx="6" formatCode="General">
                  <c:v>0.645165607429663</c:v>
                </c:pt>
                <c:pt idx="7" formatCode="General">
                  <c:v>0.7031840759217094</c:v>
                </c:pt>
                <c:pt idx="8" formatCode="General">
                  <c:v>0.751483111552121</c:v>
                </c:pt>
                <c:pt idx="9" formatCode="General">
                  <c:v>0.79163696112841453</c:v>
                </c:pt>
                <c:pt idx="10" formatCode="General">
                  <c:v>0.79652844458988914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96112"/>
        <c:axId val="1876615152"/>
      </c:scatterChart>
      <c:valAx>
        <c:axId val="187659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15152"/>
        <c:crosses val="autoZero"/>
        <c:crossBetween val="midCat"/>
      </c:valAx>
      <c:valAx>
        <c:axId val="18766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9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Sheet8!$C$1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5.0000000000000002E-5</c:v>
                </c:pt>
                <c:pt idx="2" formatCode="General">
                  <c:v>1E-4</c:v>
                </c:pt>
                <c:pt idx="3">
                  <c:v>1.4999999999999999E-4</c:v>
                </c:pt>
                <c:pt idx="4" formatCode="General">
                  <c:v>2.0000000000000001E-4</c:v>
                </c:pt>
                <c:pt idx="5">
                  <c:v>2.5000000000000001E-4</c:v>
                </c:pt>
                <c:pt idx="6" formatCode="General">
                  <c:v>2.9999999999999997E-4</c:v>
                </c:pt>
                <c:pt idx="7">
                  <c:v>3.5E-4</c:v>
                </c:pt>
                <c:pt idx="8" formatCode="General">
                  <c:v>4.0000000000000002E-4</c:v>
                </c:pt>
                <c:pt idx="9">
                  <c:v>4.4999999999999999E-4</c:v>
                </c:pt>
                <c:pt idx="10" formatCode="General">
                  <c:v>4.567749E-4</c:v>
                </c:pt>
              </c:numCache>
            </c:numRef>
          </c:xVal>
          <c:yVal>
            <c:numRef>
              <c:f>Sheet8!$C$2:$C$12</c:f>
              <c:numCache>
                <c:formatCode>0.00E+00</c:formatCode>
                <c:ptCount val="11"/>
                <c:pt idx="0" formatCode="General">
                  <c:v>2241357</c:v>
                </c:pt>
                <c:pt idx="1">
                  <c:v>2006880.4188745157</c:v>
                </c:pt>
                <c:pt idx="2" formatCode="General">
                  <c:v>1796933.2933851911</c:v>
                </c:pt>
                <c:pt idx="3" formatCode="General">
                  <c:v>1608949.5071594734</c:v>
                </c:pt>
                <c:pt idx="4" formatCode="General">
                  <c:v>1440631.394675703</c:v>
                </c:pt>
                <c:pt idx="5" formatCode="General">
                  <c:v>1289921.6576344387</c:v>
                </c:pt>
                <c:pt idx="6" formatCode="General">
                  <c:v>1154978.2192612388</c:v>
                </c:pt>
                <c:pt idx="7" formatCode="General">
                  <c:v>1034151.7091931081</c:v>
                </c:pt>
                <c:pt idx="8" formatCode="General">
                  <c:v>925965.3037536015</c:v>
                </c:pt>
                <c:pt idx="9" formatCode="General">
                  <c:v>829096.67521073006</c:v>
                </c:pt>
                <c:pt idx="10">
                  <c:v>816775.47116607183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10256"/>
        <c:axId val="1876585232"/>
      </c:scatterChart>
      <c:valAx>
        <c:axId val="187661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85232"/>
        <c:crosses val="autoZero"/>
        <c:crossBetween val="midCat"/>
      </c:valAx>
      <c:valAx>
        <c:axId val="187658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1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Sheet8!$F$1</c:f>
              <c:strCache>
                <c:ptCount val="1"/>
                <c:pt idx="0">
                  <c:v>plastic strain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Sheet8!$A$2:$A$12</c:f>
              <c:numCache>
                <c:formatCode>0.00E+00</c:formatCode>
                <c:ptCount val="11"/>
                <c:pt idx="0" formatCode="General">
                  <c:v>0</c:v>
                </c:pt>
                <c:pt idx="1">
                  <c:v>5.0000000000000002E-5</c:v>
                </c:pt>
                <c:pt idx="2" formatCode="General">
                  <c:v>1E-4</c:v>
                </c:pt>
                <c:pt idx="3">
                  <c:v>1.4999999999999999E-4</c:v>
                </c:pt>
                <c:pt idx="4" formatCode="General">
                  <c:v>2.0000000000000001E-4</c:v>
                </c:pt>
                <c:pt idx="5">
                  <c:v>2.5000000000000001E-4</c:v>
                </c:pt>
                <c:pt idx="6" formatCode="General">
                  <c:v>2.9999999999999997E-4</c:v>
                </c:pt>
                <c:pt idx="7">
                  <c:v>3.5E-4</c:v>
                </c:pt>
                <c:pt idx="8" formatCode="General">
                  <c:v>4.0000000000000002E-4</c:v>
                </c:pt>
                <c:pt idx="9">
                  <c:v>4.4999999999999999E-4</c:v>
                </c:pt>
                <c:pt idx="10" formatCode="General">
                  <c:v>4.567749E-4</c:v>
                </c:pt>
              </c:numCache>
            </c:numRef>
          </c:xVal>
          <c:yVal>
            <c:numRef>
              <c:f>Sheet8!$F$2:$F$12</c:f>
              <c:numCache>
                <c:formatCode>0.00E+00</c:formatCode>
                <c:ptCount val="11"/>
                <c:pt idx="0">
                  <c:v>0</c:v>
                </c:pt>
                <c:pt idx="1">
                  <c:v>1.5472295477562614E-6</c:v>
                </c:pt>
                <c:pt idx="2">
                  <c:v>5.9028120783680778E-6</c:v>
                </c:pt>
                <c:pt idx="3">
                  <c:v>1.2667911949785306E-5</c:v>
                </c:pt>
                <c:pt idx="4">
                  <c:v>2.1480555177737405E-5</c:v>
                </c:pt>
                <c:pt idx="5">
                  <c:v>3.2011549059940501E-5</c:v>
                </c:pt>
                <c:pt idx="6">
                  <c:v>4.3960818375991058E-5</c:v>
                </c:pt>
                <c:pt idx="7">
                  <c:v>5.7054114104922572E-5</c:v>
                </c:pt>
                <c:pt idx="8">
                  <c:v>7.1040055206252463E-5</c:v>
                </c:pt>
                <c:pt idx="9">
                  <c:v>8.5687468098427243E-5</c:v>
                </c:pt>
                <c:pt idx="10">
                  <c:v>8.7711171490559466E-5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96656"/>
        <c:axId val="1876614608"/>
      </c:scatterChart>
      <c:valAx>
        <c:axId val="18765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14608"/>
        <c:crosses val="autoZero"/>
        <c:crossBetween val="midCat"/>
      </c:valAx>
      <c:valAx>
        <c:axId val="187661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96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Sheet9!$B$1</c:f>
              <c:strCache>
                <c:ptCount val="1"/>
                <c:pt idx="0">
                  <c:v>damage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7.0000000000000001E-3</c:v>
                </c:pt>
                <c:pt idx="4">
                  <c:v>8.0000000000000002E-3</c:v>
                </c:pt>
                <c:pt idx="5">
                  <c:v>8.9999999999999993E-3</c:v>
                </c:pt>
                <c:pt idx="6">
                  <c:v>0.01</c:v>
                </c:pt>
                <c:pt idx="7">
                  <c:v>1.0999999999999999E-2</c:v>
                </c:pt>
                <c:pt idx="8">
                  <c:v>1.15E-2</c:v>
                </c:pt>
                <c:pt idx="9">
                  <c:v>1.2E-2</c:v>
                </c:pt>
                <c:pt idx="10">
                  <c:v>1.265E-2</c:v>
                </c:pt>
              </c:numCache>
            </c:numRef>
          </c:xVal>
          <c:yVal>
            <c:numRef>
              <c:f>Sheet9!$B$2:$B$12</c:f>
              <c:numCache>
                <c:formatCode>General</c:formatCode>
                <c:ptCount val="11"/>
                <c:pt idx="0">
                  <c:v>0</c:v>
                </c:pt>
                <c:pt idx="1">
                  <c:v>0.31267448352875493</c:v>
                </c:pt>
                <c:pt idx="2">
                  <c:v>0.3752093802345059</c:v>
                </c:pt>
                <c:pt idx="3">
                  <c:v>0.43774427694025686</c:v>
                </c:pt>
                <c:pt idx="4">
                  <c:v>0.50027917364600782</c:v>
                </c:pt>
                <c:pt idx="5">
                  <c:v>0.56281407035175879</c:v>
                </c:pt>
                <c:pt idx="6">
                  <c:v>0.62534896705750986</c:v>
                </c:pt>
                <c:pt idx="7">
                  <c:v>0.68788386376326072</c:v>
                </c:pt>
                <c:pt idx="8">
                  <c:v>0.71915131211613625</c:v>
                </c:pt>
                <c:pt idx="9">
                  <c:v>0.75041876046901179</c:v>
                </c:pt>
                <c:pt idx="10">
                  <c:v>0.79106644332774989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Sheet9!$D$1</c:f>
              <c:strCache>
                <c:ptCount val="1"/>
                <c:pt idx="0">
                  <c:v>damage limit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7.0000000000000001E-3</c:v>
                </c:pt>
                <c:pt idx="4">
                  <c:v>8.0000000000000002E-3</c:v>
                </c:pt>
                <c:pt idx="5">
                  <c:v>8.9999999999999993E-3</c:v>
                </c:pt>
                <c:pt idx="6">
                  <c:v>0.01</c:v>
                </c:pt>
                <c:pt idx="7">
                  <c:v>1.0999999999999999E-2</c:v>
                </c:pt>
                <c:pt idx="8">
                  <c:v>1.15E-2</c:v>
                </c:pt>
                <c:pt idx="9">
                  <c:v>1.2E-2</c:v>
                </c:pt>
                <c:pt idx="10">
                  <c:v>1.265E-2</c:v>
                </c:pt>
              </c:numCache>
            </c:numRef>
          </c:xVal>
          <c:yVal>
            <c:numRef>
              <c:f>Sheet9!$D$2:$D$12</c:f>
              <c:numCache>
                <c:formatCode>0.00E+00</c:formatCode>
                <c:ptCount val="11"/>
                <c:pt idx="0">
                  <c:v>0</c:v>
                </c:pt>
                <c:pt idx="1">
                  <c:v>0.76865300149893923</c:v>
                </c:pt>
                <c:pt idx="2" formatCode="General">
                  <c:v>0.80018899718802783</c:v>
                </c:pt>
                <c:pt idx="3" formatCode="General">
                  <c:v>0.8315253361254914</c:v>
                </c:pt>
                <c:pt idx="4" formatCode="General">
                  <c:v>0.86346532189238911</c:v>
                </c:pt>
                <c:pt idx="5" formatCode="General">
                  <c:v>0.89655594403077277</c:v>
                </c:pt>
                <c:pt idx="6" formatCode="General">
                  <c:v>0.9312262698373831</c:v>
                </c:pt>
                <c:pt idx="7" formatCode="General">
                  <c:v>0.9678552430419286</c:v>
                </c:pt>
                <c:pt idx="8" formatCode="General">
                  <c:v>0.98701860715649303</c:v>
                </c:pt>
                <c:pt idx="9" formatCode="General">
                  <c:v>0.9882352941176471</c:v>
                </c:pt>
                <c:pt idx="10" formatCode="General">
                  <c:v>0.98883305415968736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83600"/>
        <c:axId val="1876592848"/>
      </c:scatterChart>
      <c:valAx>
        <c:axId val="187658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92848"/>
        <c:crosses val="autoZero"/>
        <c:crossBetween val="midCat"/>
      </c:valAx>
      <c:valAx>
        <c:axId val="187659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83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Sheet9!$C$1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7.0000000000000001E-3</c:v>
                </c:pt>
                <c:pt idx="4">
                  <c:v>8.0000000000000002E-3</c:v>
                </c:pt>
                <c:pt idx="5">
                  <c:v>8.9999999999999993E-3</c:v>
                </c:pt>
                <c:pt idx="6">
                  <c:v>0.01</c:v>
                </c:pt>
                <c:pt idx="7">
                  <c:v>1.0999999999999999E-2</c:v>
                </c:pt>
                <c:pt idx="8">
                  <c:v>1.15E-2</c:v>
                </c:pt>
                <c:pt idx="9">
                  <c:v>1.2E-2</c:v>
                </c:pt>
                <c:pt idx="10">
                  <c:v>1.265E-2</c:v>
                </c:pt>
              </c:numCache>
            </c:numRef>
          </c:xVal>
          <c:yVal>
            <c:numRef>
              <c:f>Sheet9!$C$2:$C$12</c:f>
              <c:numCache>
                <c:formatCode>0.00E+00</c:formatCode>
                <c:ptCount val="11"/>
                <c:pt idx="0">
                  <c:v>1000000</c:v>
                </c:pt>
                <c:pt idx="1">
                  <c:v>10534200.649378849</c:v>
                </c:pt>
                <c:pt idx="2">
                  <c:v>10487599.988994692</c:v>
                </c:pt>
                <c:pt idx="3">
                  <c:v>9927849.665190557</c:v>
                </c:pt>
                <c:pt idx="4">
                  <c:v>8854949.6779664457</c:v>
                </c:pt>
                <c:pt idx="5">
                  <c:v>7268900.0273223612</c:v>
                </c:pt>
                <c:pt idx="6">
                  <c:v>5169700.7132582981</c:v>
                </c:pt>
                <c:pt idx="7">
                  <c:v>2557351.7357742628</c:v>
                </c:pt>
                <c:pt idx="8">
                  <c:v>1058746.1232497506</c:v>
                </c:pt>
                <c:pt idx="9">
                  <c:v>1000000</c:v>
                </c:pt>
                <c:pt idx="10">
                  <c:v>1000000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604272"/>
        <c:axId val="1876592304"/>
      </c:scatterChart>
      <c:valAx>
        <c:axId val="18766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92304"/>
        <c:crosses val="autoZero"/>
        <c:crossBetween val="midCat"/>
      </c:valAx>
      <c:valAx>
        <c:axId val="187659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0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Sheet9!$F$1</c:f>
              <c:strCache>
                <c:ptCount val="1"/>
                <c:pt idx="0">
                  <c:v>plastic strain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Sheet9!$A$2:$A$12</c:f>
              <c:numCache>
                <c:formatCode>General</c:formatCode>
                <c:ptCount val="11"/>
                <c:pt idx="0">
                  <c:v>0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7.0000000000000001E-3</c:v>
                </c:pt>
                <c:pt idx="4">
                  <c:v>8.0000000000000002E-3</c:v>
                </c:pt>
                <c:pt idx="5">
                  <c:v>8.9999999999999993E-3</c:v>
                </c:pt>
                <c:pt idx="6">
                  <c:v>0.01</c:v>
                </c:pt>
                <c:pt idx="7">
                  <c:v>1.0999999999999999E-2</c:v>
                </c:pt>
                <c:pt idx="8">
                  <c:v>1.15E-2</c:v>
                </c:pt>
                <c:pt idx="9">
                  <c:v>1.2E-2</c:v>
                </c:pt>
                <c:pt idx="10">
                  <c:v>1.265E-2</c:v>
                </c:pt>
              </c:numCache>
            </c:numRef>
          </c:xVal>
          <c:yVal>
            <c:numRef>
              <c:f>Sheet9!$F$2:$F$12</c:f>
              <c:numCache>
                <c:formatCode>0.00E+00</c:formatCode>
                <c:ptCount val="11"/>
                <c:pt idx="0">
                  <c:v>0</c:v>
                </c:pt>
                <c:pt idx="1">
                  <c:v>4.3154053192930074E-3</c:v>
                </c:pt>
                <c:pt idx="2">
                  <c:v>5.1002595183704284E-3</c:v>
                </c:pt>
                <c:pt idx="3">
                  <c:v>5.8958101663343174E-3</c:v>
                </c:pt>
                <c:pt idx="4">
                  <c:v>6.7335937890729558E-3</c:v>
                </c:pt>
                <c:pt idx="5">
                  <c:v>7.6631907995728986E-3</c:v>
                </c:pt>
                <c:pt idx="6">
                  <c:v>8.7672844796999588E-3</c:v>
                </c:pt>
                <c:pt idx="7">
                  <c:v>1.019482306709075E-2</c:v>
                </c:pt>
                <c:pt idx="8">
                  <c:v>1.1112705195471265E-2</c:v>
                </c:pt>
                <c:pt idx="9">
                  <c:v>1.1570469798657718E-2</c:v>
                </c:pt>
                <c:pt idx="10">
                  <c:v>1.210911277391769E-2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88496"/>
        <c:axId val="1876612432"/>
      </c:scatterChart>
      <c:valAx>
        <c:axId val="187658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612432"/>
        <c:crosses val="autoZero"/>
        <c:crossBetween val="midCat"/>
      </c:valAx>
      <c:valAx>
        <c:axId val="187661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58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0</xdr:row>
      <xdr:rowOff>76200</xdr:rowOff>
    </xdr:from>
    <xdr:to>
      <xdr:col>22</xdr:col>
      <xdr:colOff>314325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138112</xdr:colOff>
      <xdr:row>23</xdr:row>
      <xdr:rowOff>104775</xdr:rowOff>
    </xdr:from>
    <xdr:to>
      <xdr:col>21</xdr:col>
      <xdr:colOff>104775</xdr:colOff>
      <xdr:row>38</xdr:row>
      <xdr:rowOff>76201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514350</xdr:colOff>
      <xdr:row>23</xdr:row>
      <xdr:rowOff>85725</xdr:rowOff>
    </xdr:from>
    <xdr:to>
      <xdr:col>12</xdr:col>
      <xdr:colOff>328613</xdr:colOff>
      <xdr:row>38</xdr:row>
      <xdr:rowOff>57151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528637</xdr:colOff>
      <xdr:row>9</xdr:row>
      <xdr:rowOff>114300</xdr:rowOff>
    </xdr:from>
    <xdr:to>
      <xdr:col>16</xdr:col>
      <xdr:colOff>347662</xdr:colOff>
      <xdr:row>22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6</xdr:row>
      <xdr:rowOff>66675</xdr:rowOff>
    </xdr:from>
    <xdr:to>
      <xdr:col>10</xdr:col>
      <xdr:colOff>376237</xdr:colOff>
      <xdr:row>20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5</xdr:row>
      <xdr:rowOff>171450</xdr:rowOff>
    </xdr:from>
    <xdr:to>
      <xdr:col>22</xdr:col>
      <xdr:colOff>542925</xdr:colOff>
      <xdr:row>20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76200</xdr:colOff>
      <xdr:row>21</xdr:row>
      <xdr:rowOff>104775</xdr:rowOff>
    </xdr:from>
    <xdr:to>
      <xdr:col>10</xdr:col>
      <xdr:colOff>381000</xdr:colOff>
      <xdr:row>35</xdr:row>
      <xdr:rowOff>180975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11</xdr:row>
      <xdr:rowOff>180975</xdr:rowOff>
    </xdr:from>
    <xdr:to>
      <xdr:col>9</xdr:col>
      <xdr:colOff>419100</xdr:colOff>
      <xdr:row>26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142875</xdr:colOff>
      <xdr:row>24</xdr:row>
      <xdr:rowOff>19050</xdr:rowOff>
    </xdr:from>
    <xdr:to>
      <xdr:col>9</xdr:col>
      <xdr:colOff>447675</xdr:colOff>
      <xdr:row>38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119062</xdr:colOff>
      <xdr:row>1</xdr:row>
      <xdr:rowOff>23812</xdr:rowOff>
    </xdr:from>
    <xdr:to>
      <xdr:col>15</xdr:col>
      <xdr:colOff>423862</xdr:colOff>
      <xdr:row>15</xdr:row>
      <xdr:rowOff>100012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3</xdr:row>
      <xdr:rowOff>171450</xdr:rowOff>
    </xdr:from>
    <xdr:to>
      <xdr:col>13</xdr:col>
      <xdr:colOff>323850</xdr:colOff>
      <xdr:row>18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276225</xdr:colOff>
      <xdr:row>19</xdr:row>
      <xdr:rowOff>114300</xdr:rowOff>
    </xdr:from>
    <xdr:to>
      <xdr:col>10</xdr:col>
      <xdr:colOff>581025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233362</xdr:colOff>
      <xdr:row>19</xdr:row>
      <xdr:rowOff>147637</xdr:rowOff>
    </xdr:from>
    <xdr:to>
      <xdr:col>18</xdr:col>
      <xdr:colOff>538162</xdr:colOff>
      <xdr:row>34</xdr:row>
      <xdr:rowOff>33337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observationUDEC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2"/>
  <sheetViews>
    <sheetView tabSelected="1" topLeftCell="I1" zoomScaleNormal="100" workbookViewId="0">
      <selection activeCell="I22" sqref="I22"/>
    </sheetView>
  </sheetViews>
  <sheetFormatPr defaultRowHeight="15" x14ac:dyDescent="0.25"/>
  <cols>
    <col min="1" max="1" width="5.140625" bestFit="1" customWidth="1"/>
    <col min="2" max="3" width="12.7109375" bestFit="1" customWidth="1"/>
    <col min="4" max="4" width="8.5703125" bestFit="1" customWidth="1"/>
    <col min="5" max="5" width="12.7109375" bestFit="1" customWidth="1"/>
    <col min="6" max="6" width="9" bestFit="1" customWidth="1"/>
    <col min="7" max="7" width="4.85546875" bestFit="1" customWidth="1"/>
    <col min="13" max="13" width="12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5">
      <c r="A2">
        <v>0</v>
      </c>
      <c r="B2">
        <v>-10000034</v>
      </c>
      <c r="C2">
        <v>-4331058</v>
      </c>
      <c r="D2">
        <v>0</v>
      </c>
      <c r="E2">
        <v>-9.8133541177999992E-4</v>
      </c>
      <c r="F2">
        <v>0</v>
      </c>
      <c r="G2">
        <v>0</v>
      </c>
      <c r="H2">
        <f>(C2)/1000000</f>
        <v>-4.3310579999999996</v>
      </c>
      <c r="I2">
        <f>F2*100</f>
        <v>0</v>
      </c>
    </row>
    <row r="3" spans="1:9" x14ac:dyDescent="0.25">
      <c r="A3">
        <v>0.4</v>
      </c>
      <c r="B3">
        <v>-10043069.520199999</v>
      </c>
      <c r="C3">
        <v>-7662922.5282600001</v>
      </c>
      <c r="D3" s="1">
        <v>0</v>
      </c>
      <c r="E3" s="1">
        <v>-8.1223980754899997E-4</v>
      </c>
      <c r="F3" s="1">
        <v>-4.0020006473499999E-4</v>
      </c>
      <c r="G3">
        <v>0</v>
      </c>
      <c r="H3">
        <f t="shared" ref="H3:H52" si="0">(C3)/1000000</f>
        <v>-7.6629225282600002</v>
      </c>
      <c r="I3">
        <f t="shared" ref="I3:I52" si="1">F3*100</f>
        <v>-4.00200064735E-2</v>
      </c>
    </row>
    <row r="4" spans="1:9" x14ac:dyDescent="0.25">
      <c r="A4">
        <v>0.8</v>
      </c>
      <c r="B4">
        <v>-10086105.0403</v>
      </c>
      <c r="C4">
        <v>-10994787.056500001</v>
      </c>
      <c r="D4" s="1">
        <v>0</v>
      </c>
      <c r="E4" s="1">
        <v>-6.4314420331899999E-4</v>
      </c>
      <c r="F4" s="1">
        <v>-8.0040012947100005E-4</v>
      </c>
      <c r="G4">
        <v>0</v>
      </c>
      <c r="H4">
        <f t="shared" si="0"/>
        <v>-10.994787056500002</v>
      </c>
      <c r="I4">
        <f t="shared" si="1"/>
        <v>-8.0040012947100003E-2</v>
      </c>
    </row>
    <row r="5" spans="1:9" x14ac:dyDescent="0.25">
      <c r="A5">
        <v>1.2</v>
      </c>
      <c r="B5">
        <v>-10072491.498500001</v>
      </c>
      <c r="C5">
        <v>-14303423.8094</v>
      </c>
      <c r="D5" s="1">
        <v>0</v>
      </c>
      <c r="E5" s="1">
        <v>-4.6841268736500002E-4</v>
      </c>
      <c r="F5" s="1">
        <v>-1.2007738204099999E-3</v>
      </c>
      <c r="G5">
        <v>0</v>
      </c>
      <c r="H5">
        <f t="shared" si="0"/>
        <v>-14.3034238094</v>
      </c>
      <c r="I5">
        <f t="shared" si="1"/>
        <v>-0.12007738204099999</v>
      </c>
    </row>
    <row r="6" spans="1:9" x14ac:dyDescent="0.25">
      <c r="A6">
        <v>1.6</v>
      </c>
      <c r="B6">
        <v>-9963655.8049100004</v>
      </c>
      <c r="C6">
        <v>-17573016.6899</v>
      </c>
      <c r="D6" s="1">
        <v>0</v>
      </c>
      <c r="E6" s="1">
        <v>-2.8420769342200002E-4</v>
      </c>
      <c r="F6" s="1">
        <v>-1.6014393619100001E-3</v>
      </c>
      <c r="G6">
        <v>0</v>
      </c>
      <c r="H6">
        <f t="shared" si="0"/>
        <v>-17.573016689900001</v>
      </c>
      <c r="I6">
        <f t="shared" si="1"/>
        <v>-0.16014393619100001</v>
      </c>
    </row>
    <row r="7" spans="1:9" x14ac:dyDescent="0.25">
      <c r="A7">
        <v>2</v>
      </c>
      <c r="B7">
        <v>-9854820.1112799998</v>
      </c>
      <c r="C7">
        <v>-20842609.5704</v>
      </c>
      <c r="D7" s="1">
        <v>0</v>
      </c>
      <c r="E7" s="1">
        <v>-1.00002699478E-4</v>
      </c>
      <c r="F7" s="1">
        <v>-2.00210490342E-3</v>
      </c>
      <c r="G7">
        <v>0</v>
      </c>
      <c r="H7">
        <f t="shared" si="0"/>
        <v>-20.842609570400001</v>
      </c>
      <c r="I7">
        <f t="shared" si="1"/>
        <v>-0.200210490342</v>
      </c>
    </row>
    <row r="8" spans="1:9" x14ac:dyDescent="0.25">
      <c r="A8">
        <v>2.4</v>
      </c>
      <c r="B8">
        <v>-9859952.5272000004</v>
      </c>
      <c r="C8">
        <v>-24163966.9001</v>
      </c>
      <c r="D8" s="1">
        <v>0</v>
      </c>
      <c r="E8" s="1">
        <v>7.3122647934299999E-5</v>
      </c>
      <c r="F8" s="1">
        <v>-2.40303630679E-3</v>
      </c>
      <c r="G8">
        <v>0</v>
      </c>
      <c r="H8">
        <f t="shared" si="0"/>
        <v>-24.1639669001</v>
      </c>
      <c r="I8">
        <f t="shared" si="1"/>
        <v>-0.24030363067899999</v>
      </c>
    </row>
    <row r="9" spans="1:9" x14ac:dyDescent="0.25">
      <c r="A9">
        <v>2.8</v>
      </c>
      <c r="B9">
        <v>-9908868.6063100006</v>
      </c>
      <c r="C9">
        <v>-27505210.8211</v>
      </c>
      <c r="D9" s="1">
        <v>0</v>
      </c>
      <c r="E9" s="1">
        <v>2.41991475571E-4</v>
      </c>
      <c r="F9" s="1">
        <v>-2.80406984757E-3</v>
      </c>
      <c r="G9">
        <v>0</v>
      </c>
      <c r="H9">
        <f t="shared" si="0"/>
        <v>-27.5052108211</v>
      </c>
      <c r="I9">
        <f t="shared" si="1"/>
        <v>-0.28040698475699999</v>
      </c>
    </row>
    <row r="10" spans="1:9" x14ac:dyDescent="0.25">
      <c r="A10">
        <v>3.2</v>
      </c>
      <c r="B10">
        <v>-9947461.0478300005</v>
      </c>
      <c r="C10">
        <v>-30843205.422200002</v>
      </c>
      <c r="D10" s="1">
        <v>0</v>
      </c>
      <c r="E10" s="1">
        <v>4.11950037592E-4</v>
      </c>
      <c r="F10" s="1">
        <v>-3.2052402761800001E-3</v>
      </c>
      <c r="G10">
        <v>0</v>
      </c>
      <c r="H10">
        <f t="shared" si="0"/>
        <v>-30.8432054222</v>
      </c>
      <c r="I10">
        <f t="shared" si="1"/>
        <v>-0.32052402761800003</v>
      </c>
    </row>
    <row r="11" spans="1:9" x14ac:dyDescent="0.25">
      <c r="A11">
        <v>3.6</v>
      </c>
      <c r="B11">
        <v>-9968202.5712499991</v>
      </c>
      <c r="C11">
        <v>-34175581.524899997</v>
      </c>
      <c r="D11" s="1">
        <v>0</v>
      </c>
      <c r="E11" s="1">
        <v>5.8379289272700004E-4</v>
      </c>
      <c r="F11" s="1">
        <v>-3.6066474017699998E-3</v>
      </c>
      <c r="G11">
        <v>0</v>
      </c>
      <c r="H11">
        <f t="shared" si="0"/>
        <v>-34.175581524899997</v>
      </c>
      <c r="I11">
        <f t="shared" si="1"/>
        <v>-0.36066474017699995</v>
      </c>
    </row>
    <row r="12" spans="1:9" x14ac:dyDescent="0.25">
      <c r="A12">
        <v>4</v>
      </c>
      <c r="B12">
        <v>-9988944.0946699996</v>
      </c>
      <c r="C12">
        <v>-37507957.627599999</v>
      </c>
      <c r="D12" s="1">
        <v>0</v>
      </c>
      <c r="E12" s="1">
        <v>7.5563574786299999E-4</v>
      </c>
      <c r="F12" s="1">
        <v>-4.0080545273500001E-3</v>
      </c>
      <c r="G12">
        <v>0</v>
      </c>
      <c r="H12">
        <f t="shared" si="0"/>
        <v>-37.5079576276</v>
      </c>
      <c r="I12">
        <f t="shared" si="1"/>
        <v>-0.40080545273500001</v>
      </c>
    </row>
    <row r="13" spans="1:9" x14ac:dyDescent="0.25">
      <c r="A13">
        <v>4.4000000000000004</v>
      </c>
      <c r="B13">
        <v>-9983461.2826099992</v>
      </c>
      <c r="C13">
        <v>-40831370.795000002</v>
      </c>
      <c r="D13" s="1">
        <v>0</v>
      </c>
      <c r="E13" s="1">
        <v>9.3013122675699995E-4</v>
      </c>
      <c r="F13" s="1">
        <v>-4.4097733131100002E-3</v>
      </c>
      <c r="G13">
        <v>0</v>
      </c>
      <c r="H13">
        <f t="shared" si="0"/>
        <v>-40.831370795000005</v>
      </c>
      <c r="I13">
        <f t="shared" si="1"/>
        <v>-0.44097733131100003</v>
      </c>
    </row>
    <row r="14" spans="1:9" x14ac:dyDescent="0.25">
      <c r="A14">
        <v>4.8</v>
      </c>
      <c r="B14">
        <v>-9967570.9346099999</v>
      </c>
      <c r="C14">
        <v>-44151226.881999999</v>
      </c>
      <c r="D14" s="1">
        <v>0</v>
      </c>
      <c r="E14" s="1">
        <v>1.1056794407E-3</v>
      </c>
      <c r="F14" s="1">
        <v>-4.8116157860500003E-3</v>
      </c>
      <c r="G14">
        <v>0</v>
      </c>
      <c r="H14">
        <f t="shared" si="0"/>
        <v>-44.151226881999996</v>
      </c>
      <c r="I14">
        <f t="shared" si="1"/>
        <v>-0.48116157860500003</v>
      </c>
    </row>
    <row r="15" spans="1:9" x14ac:dyDescent="0.25">
      <c r="A15">
        <v>5.2</v>
      </c>
      <c r="B15">
        <v>-9956664.4703000002</v>
      </c>
      <c r="C15">
        <v>-47474447.431199998</v>
      </c>
      <c r="D15" s="1">
        <v>0</v>
      </c>
      <c r="E15" s="1">
        <v>1.2808426693099999E-3</v>
      </c>
      <c r="F15" s="1">
        <v>-5.2136177654200002E-3</v>
      </c>
      <c r="G15">
        <v>0</v>
      </c>
      <c r="H15">
        <f t="shared" si="0"/>
        <v>-47.474447431199998</v>
      </c>
      <c r="I15">
        <f t="shared" si="1"/>
        <v>-0.521361776542</v>
      </c>
    </row>
    <row r="16" spans="1:9" x14ac:dyDescent="0.25">
      <c r="A16">
        <v>5.6</v>
      </c>
      <c r="B16">
        <v>-9954623.3564999998</v>
      </c>
      <c r="C16">
        <v>-50803652.697999999</v>
      </c>
      <c r="D16" s="1">
        <v>0</v>
      </c>
      <c r="E16" s="1">
        <v>1.4553210846299999E-3</v>
      </c>
      <c r="F16" s="1">
        <v>-5.6159034754E-3</v>
      </c>
      <c r="G16">
        <v>0</v>
      </c>
      <c r="H16">
        <f t="shared" si="0"/>
        <v>-50.803652698</v>
      </c>
      <c r="I16">
        <f t="shared" si="1"/>
        <v>-0.56159034754000003</v>
      </c>
    </row>
    <row r="17" spans="1:9" x14ac:dyDescent="0.25">
      <c r="A17">
        <v>6</v>
      </c>
      <c r="B17">
        <v>-9952582.2426900007</v>
      </c>
      <c r="C17">
        <v>-54132857.9648</v>
      </c>
      <c r="D17" s="1">
        <v>0</v>
      </c>
      <c r="E17" s="1">
        <v>1.6297994999399999E-3</v>
      </c>
      <c r="F17" s="1">
        <v>-6.0181891853799997E-3</v>
      </c>
      <c r="G17">
        <v>0</v>
      </c>
      <c r="H17">
        <f t="shared" si="0"/>
        <v>-54.132857964800003</v>
      </c>
      <c r="I17" s="1">
        <f>F17*100</f>
        <v>-0.60181891853799996</v>
      </c>
    </row>
    <row r="18" spans="1:9" x14ac:dyDescent="0.25">
      <c r="A18">
        <v>6.4</v>
      </c>
      <c r="B18">
        <v>-9992509.0312399995</v>
      </c>
      <c r="C18">
        <v>-56195510.477600001</v>
      </c>
      <c r="D18" s="1">
        <v>0</v>
      </c>
      <c r="E18" s="1">
        <v>1.8554677094899999E-3</v>
      </c>
      <c r="F18" s="1">
        <v>-6.4207217780199999E-3</v>
      </c>
      <c r="G18">
        <v>0</v>
      </c>
      <c r="H18">
        <f t="shared" si="0"/>
        <v>-56.195510477600003</v>
      </c>
      <c r="I18" s="1">
        <f>F18*100</f>
        <v>-0.64207217780199999</v>
      </c>
    </row>
    <row r="19" spans="1:9" x14ac:dyDescent="0.25">
      <c r="A19">
        <v>6.8</v>
      </c>
      <c r="B19">
        <v>-10049631.515699999</v>
      </c>
      <c r="C19">
        <v>-57739212.678999998</v>
      </c>
      <c r="D19" s="1">
        <v>0</v>
      </c>
      <c r="E19" s="1">
        <v>2.10211014185E-3</v>
      </c>
      <c r="F19" s="1">
        <v>-6.8233555269800001E-3</v>
      </c>
      <c r="G19">
        <v>0</v>
      </c>
      <c r="H19">
        <f t="shared" si="0"/>
        <v>-57.739212678999998</v>
      </c>
      <c r="I19" s="1">
        <f>F19*100</f>
        <v>-0.68233555269800006</v>
      </c>
    </row>
    <row r="20" spans="1:9" x14ac:dyDescent="0.25">
      <c r="A20">
        <v>7.2</v>
      </c>
      <c r="B20">
        <v>-10105215.6491</v>
      </c>
      <c r="C20">
        <v>-59206680.683899999</v>
      </c>
      <c r="D20" s="1">
        <v>0</v>
      </c>
      <c r="E20" s="1">
        <v>2.3516966178300002E-3</v>
      </c>
      <c r="F20" s="1">
        <v>-7.2260071339099998E-3</v>
      </c>
      <c r="G20">
        <v>0</v>
      </c>
      <c r="H20">
        <f t="shared" si="0"/>
        <v>-59.206680683899997</v>
      </c>
      <c r="I20">
        <f t="shared" si="1"/>
        <v>-0.72260071339099996</v>
      </c>
    </row>
    <row r="21" spans="1:9" x14ac:dyDescent="0.25">
      <c r="A21">
        <v>7.6</v>
      </c>
      <c r="B21">
        <v>-10153783.379799999</v>
      </c>
      <c r="C21">
        <v>-60326445.322899997</v>
      </c>
      <c r="D21" s="1">
        <v>0</v>
      </c>
      <c r="E21" s="1">
        <v>2.6147108457500001E-3</v>
      </c>
      <c r="F21" s="1">
        <v>-7.62874019085E-3</v>
      </c>
      <c r="G21">
        <v>0</v>
      </c>
      <c r="H21">
        <f t="shared" si="0"/>
        <v>-60.3264453229</v>
      </c>
      <c r="I21" s="1">
        <f>F21*100</f>
        <v>-0.76287401908499997</v>
      </c>
    </row>
    <row r="22" spans="1:9" x14ac:dyDescent="0.25">
      <c r="A22">
        <v>8</v>
      </c>
      <c r="B22">
        <v>-10202351.1106</v>
      </c>
      <c r="C22">
        <v>-61446209.961900003</v>
      </c>
      <c r="D22" s="1">
        <v>0</v>
      </c>
      <c r="E22" s="1">
        <v>2.8777250736599998E-3</v>
      </c>
      <c r="F22" s="1">
        <v>-8.0314732477800004E-3</v>
      </c>
      <c r="G22">
        <v>0</v>
      </c>
      <c r="H22">
        <f t="shared" si="0"/>
        <v>-61.446209961900003</v>
      </c>
      <c r="I22">
        <f t="shared" si="1"/>
        <v>-0.80314732477799999</v>
      </c>
    </row>
    <row r="23" spans="1:9" x14ac:dyDescent="0.25">
      <c r="A23">
        <v>8.4</v>
      </c>
      <c r="B23">
        <v>-10102356.456599999</v>
      </c>
      <c r="C23">
        <v>-61682078.736500002</v>
      </c>
      <c r="D23" s="1">
        <v>0</v>
      </c>
      <c r="E23" s="1">
        <v>3.11530957956E-3</v>
      </c>
      <c r="F23" s="1">
        <v>-8.3419589756800003E-3</v>
      </c>
      <c r="G23">
        <v>0</v>
      </c>
      <c r="H23">
        <f t="shared" si="0"/>
        <v>-61.682078736500003</v>
      </c>
      <c r="I23">
        <f t="shared" si="1"/>
        <v>-0.83419589756800006</v>
      </c>
    </row>
    <row r="24" spans="1:9" x14ac:dyDescent="0.25">
      <c r="A24">
        <v>8.8000000000000007</v>
      </c>
      <c r="B24">
        <v>-9979676.1435800008</v>
      </c>
      <c r="C24">
        <v>-61782975.524300002</v>
      </c>
      <c r="D24" s="1">
        <v>0</v>
      </c>
      <c r="E24" s="1">
        <v>3.3490109355899999E-3</v>
      </c>
      <c r="F24" s="1">
        <v>-8.6383584228399996E-3</v>
      </c>
      <c r="G24">
        <v>0</v>
      </c>
      <c r="H24">
        <f t="shared" si="0"/>
        <v>-61.782975524299999</v>
      </c>
      <c r="I24">
        <f t="shared" si="1"/>
        <v>-0.86383584228400001</v>
      </c>
    </row>
    <row r="25" spans="1:9" x14ac:dyDescent="0.25">
      <c r="A25">
        <v>9.1999999999999993</v>
      </c>
      <c r="B25">
        <v>-9944117.8310800008</v>
      </c>
      <c r="C25">
        <v>-61904683.789300002</v>
      </c>
      <c r="D25" s="1">
        <v>0</v>
      </c>
      <c r="E25" s="1">
        <v>3.4948410382499998E-3</v>
      </c>
      <c r="F25" s="1">
        <v>-8.83614318458E-3</v>
      </c>
      <c r="G25">
        <v>0</v>
      </c>
      <c r="H25">
        <f t="shared" si="0"/>
        <v>-61.904683789300002</v>
      </c>
      <c r="I25">
        <f t="shared" si="1"/>
        <v>-0.88361431845799998</v>
      </c>
    </row>
    <row r="26" spans="1:9" x14ac:dyDescent="0.25">
      <c r="A26">
        <v>9.6</v>
      </c>
      <c r="B26">
        <v>-10003415.681299999</v>
      </c>
      <c r="C26">
        <v>-62049051.048100002</v>
      </c>
      <c r="D26" s="1">
        <v>0</v>
      </c>
      <c r="E26" s="1">
        <v>3.5449992112300001E-3</v>
      </c>
      <c r="F26" s="1">
        <v>-8.9265588479199992E-3</v>
      </c>
      <c r="G26">
        <v>0</v>
      </c>
      <c r="H26">
        <f t="shared" si="0"/>
        <v>-62.049051048100004</v>
      </c>
      <c r="I26">
        <f t="shared" si="1"/>
        <v>-0.89265588479199987</v>
      </c>
    </row>
    <row r="27" spans="1:9" x14ac:dyDescent="0.25">
      <c r="A27">
        <v>10</v>
      </c>
      <c r="B27">
        <v>-10062713.531500001</v>
      </c>
      <c r="C27">
        <v>-62193418.3068</v>
      </c>
      <c r="D27" s="1">
        <v>0</v>
      </c>
      <c r="E27" s="1">
        <v>3.5951573842100001E-3</v>
      </c>
      <c r="F27" s="1">
        <v>-9.0169745112700008E-3</v>
      </c>
      <c r="G27">
        <v>0</v>
      </c>
      <c r="H27">
        <f t="shared" si="0"/>
        <v>-62.193418306799998</v>
      </c>
      <c r="I27">
        <f t="shared" si="1"/>
        <v>-0.90169745112700006</v>
      </c>
    </row>
    <row r="28" spans="1:9" x14ac:dyDescent="0.25">
      <c r="A28">
        <v>10.4</v>
      </c>
      <c r="B28">
        <v>-10070632.947799999</v>
      </c>
      <c r="C28">
        <v>-61578591.406199999</v>
      </c>
      <c r="D28" s="1">
        <v>0</v>
      </c>
      <c r="E28" s="1">
        <v>3.5701612669400001E-3</v>
      </c>
      <c r="F28" s="1">
        <v>-8.9515957756899998E-3</v>
      </c>
      <c r="G28">
        <v>0</v>
      </c>
      <c r="H28">
        <f t="shared" si="0"/>
        <v>-61.578591406199997</v>
      </c>
      <c r="I28">
        <f t="shared" si="1"/>
        <v>-0.895159577569</v>
      </c>
    </row>
    <row r="29" spans="1:9" x14ac:dyDescent="0.25">
      <c r="A29">
        <v>10.8</v>
      </c>
      <c r="B29">
        <v>-10062535.4888</v>
      </c>
      <c r="C29">
        <v>-60727090.919500001</v>
      </c>
      <c r="D29" s="1">
        <v>0</v>
      </c>
      <c r="E29" s="1">
        <v>3.5217363137700001E-3</v>
      </c>
      <c r="F29" s="1">
        <v>-8.8376492019199993E-3</v>
      </c>
      <c r="G29">
        <v>0</v>
      </c>
      <c r="H29">
        <f t="shared" si="0"/>
        <v>-60.7270909195</v>
      </c>
      <c r="I29">
        <f t="shared" si="1"/>
        <v>-0.88376492019199993</v>
      </c>
    </row>
    <row r="30" spans="1:9" x14ac:dyDescent="0.25">
      <c r="A30">
        <v>11.2</v>
      </c>
      <c r="B30">
        <v>-10055618.1064</v>
      </c>
      <c r="C30">
        <v>-59264728.220100001</v>
      </c>
      <c r="D30" s="1">
        <v>0</v>
      </c>
      <c r="E30" s="1">
        <v>3.4375872335600001E-3</v>
      </c>
      <c r="F30" s="1">
        <v>-8.6415857588000005E-3</v>
      </c>
      <c r="G30">
        <v>0</v>
      </c>
      <c r="H30">
        <f t="shared" si="0"/>
        <v>-59.264728220100004</v>
      </c>
      <c r="I30">
        <f t="shared" si="1"/>
        <v>-0.86415857588</v>
      </c>
    </row>
    <row r="31" spans="1:9" x14ac:dyDescent="0.25">
      <c r="A31">
        <v>11.6</v>
      </c>
      <c r="B31">
        <v>-10050365.454500001</v>
      </c>
      <c r="C31">
        <v>-56940624.103799999</v>
      </c>
      <c r="D31" s="1">
        <v>0</v>
      </c>
      <c r="E31" s="1">
        <v>3.3030422388500001E-3</v>
      </c>
      <c r="F31" s="1">
        <v>-8.3296803044000008E-3</v>
      </c>
      <c r="G31">
        <v>0</v>
      </c>
      <c r="H31">
        <f t="shared" si="0"/>
        <v>-56.940624103799998</v>
      </c>
      <c r="I31">
        <f t="shared" si="1"/>
        <v>-0.83296803044000012</v>
      </c>
    </row>
    <row r="32" spans="1:9" x14ac:dyDescent="0.25">
      <c r="A32">
        <v>12</v>
      </c>
      <c r="B32">
        <v>-10045112.8025</v>
      </c>
      <c r="C32">
        <v>-54616519.987400003</v>
      </c>
      <c r="D32" s="1">
        <v>0</v>
      </c>
      <c r="E32" s="1">
        <v>3.16849724414E-3</v>
      </c>
      <c r="F32" s="1">
        <v>-8.0177748499900003E-3</v>
      </c>
      <c r="G32">
        <v>0</v>
      </c>
      <c r="H32">
        <f t="shared" si="0"/>
        <v>-54.616519987400004</v>
      </c>
      <c r="I32">
        <f t="shared" si="1"/>
        <v>-0.80177748499900003</v>
      </c>
    </row>
    <row r="33" spans="1:13" x14ac:dyDescent="0.25">
      <c r="A33">
        <v>12.4</v>
      </c>
      <c r="B33">
        <v>-10040673.542400001</v>
      </c>
      <c r="C33">
        <v>-51721729.834700003</v>
      </c>
      <c r="D33" s="1">
        <v>0</v>
      </c>
      <c r="E33" s="1">
        <v>3.0006503650400001E-3</v>
      </c>
      <c r="F33" s="1">
        <v>-7.6291257333400003E-3</v>
      </c>
      <c r="G33">
        <v>0</v>
      </c>
      <c r="H33">
        <f t="shared" si="0"/>
        <v>-51.721729834700007</v>
      </c>
      <c r="I33">
        <f t="shared" si="1"/>
        <v>-0.76291257333400009</v>
      </c>
    </row>
    <row r="34" spans="1:13" x14ac:dyDescent="0.25">
      <c r="A34">
        <v>12.8</v>
      </c>
      <c r="B34">
        <v>-10036386.4518</v>
      </c>
      <c r="C34">
        <v>-48720175.5189</v>
      </c>
      <c r="D34" s="1">
        <v>0</v>
      </c>
      <c r="E34" s="1">
        <v>2.82657335661E-3</v>
      </c>
      <c r="F34" s="1">
        <v>-7.2261193828500004E-3</v>
      </c>
      <c r="G34">
        <v>0</v>
      </c>
      <c r="H34">
        <f t="shared" si="0"/>
        <v>-48.7201755189</v>
      </c>
      <c r="I34">
        <f t="shared" si="1"/>
        <v>-0.72261193828500003</v>
      </c>
    </row>
    <row r="35" spans="1:13" x14ac:dyDescent="0.25">
      <c r="A35">
        <v>13.2</v>
      </c>
      <c r="B35">
        <v>-10033835.200300001</v>
      </c>
      <c r="C35">
        <v>-45720166.018200003</v>
      </c>
      <c r="D35" s="1">
        <v>0</v>
      </c>
      <c r="E35" s="1">
        <v>2.6523565469299998E-3</v>
      </c>
      <c r="F35" s="1">
        <v>-6.8232344914999996E-3</v>
      </c>
      <c r="G35">
        <v>0</v>
      </c>
      <c r="H35">
        <f t="shared" si="0"/>
        <v>-45.720166018200004</v>
      </c>
      <c r="I35">
        <f t="shared" si="1"/>
        <v>-0.68232344914999998</v>
      </c>
    </row>
    <row r="36" spans="1:13" x14ac:dyDescent="0.25">
      <c r="A36">
        <v>13.6</v>
      </c>
      <c r="B36">
        <v>-10035970.9047</v>
      </c>
      <c r="C36">
        <v>-42724327.688100003</v>
      </c>
      <c r="D36" s="1">
        <v>0</v>
      </c>
      <c r="E36" s="1">
        <v>2.4777622584899999E-3</v>
      </c>
      <c r="F36" s="1">
        <v>-6.4206775531900004E-3</v>
      </c>
      <c r="G36">
        <v>0</v>
      </c>
      <c r="H36">
        <f t="shared" si="0"/>
        <v>-42.724327688100004</v>
      </c>
      <c r="I36">
        <f t="shared" si="1"/>
        <v>-0.64206775531900007</v>
      </c>
    </row>
    <row r="37" spans="1:13" x14ac:dyDescent="0.25">
      <c r="A37">
        <v>14</v>
      </c>
      <c r="B37">
        <v>-10038106.609200001</v>
      </c>
      <c r="C37">
        <v>-39728489.358000003</v>
      </c>
      <c r="D37" s="1">
        <v>0</v>
      </c>
      <c r="E37" s="1">
        <v>2.3031679700599998E-3</v>
      </c>
      <c r="F37" s="1">
        <v>-6.0181206148800003E-3</v>
      </c>
      <c r="G37">
        <v>0</v>
      </c>
      <c r="H37">
        <f t="shared" si="0"/>
        <v>-39.728489358000004</v>
      </c>
      <c r="I37">
        <f t="shared" si="1"/>
        <v>-0.60181206148800004</v>
      </c>
    </row>
    <row r="38" spans="1:13" x14ac:dyDescent="0.25">
      <c r="A38">
        <v>14.4</v>
      </c>
      <c r="B38">
        <v>-10037042.4146</v>
      </c>
      <c r="C38">
        <v>-36734147.306299999</v>
      </c>
      <c r="D38" s="1">
        <v>0</v>
      </c>
      <c r="E38" s="1">
        <v>2.1290762156100001E-3</v>
      </c>
      <c r="F38" s="1">
        <v>-5.6158783249100003E-3</v>
      </c>
      <c r="G38">
        <v>0</v>
      </c>
      <c r="H38">
        <f t="shared" si="0"/>
        <v>-36.734147306300002</v>
      </c>
      <c r="I38">
        <f t="shared" si="1"/>
        <v>-0.56158783249100008</v>
      </c>
    </row>
    <row r="39" spans="1:13" x14ac:dyDescent="0.25">
      <c r="A39">
        <v>14.8</v>
      </c>
      <c r="B39">
        <v>-10035925.8495</v>
      </c>
      <c r="C39">
        <v>-33739829.743199997</v>
      </c>
      <c r="D39" s="1">
        <v>0</v>
      </c>
      <c r="E39" s="1">
        <v>1.9549926858000001E-3</v>
      </c>
      <c r="F39" s="1">
        <v>-5.2136411845800004E-3</v>
      </c>
      <c r="G39">
        <v>0</v>
      </c>
      <c r="H39">
        <f t="shared" si="0"/>
        <v>-33.739829743199998</v>
      </c>
      <c r="I39">
        <f t="shared" si="1"/>
        <v>-0.52136411845800001</v>
      </c>
    </row>
    <row r="40" spans="1:13" x14ac:dyDescent="0.25">
      <c r="A40">
        <v>15.2</v>
      </c>
      <c r="B40">
        <v>-10035410.019300001</v>
      </c>
      <c r="C40">
        <v>-30747045.4377</v>
      </c>
      <c r="D40" s="1">
        <v>0</v>
      </c>
      <c r="E40" s="1">
        <v>1.7809346363400001E-3</v>
      </c>
      <c r="F40" s="1">
        <v>-4.8116048738499999E-3</v>
      </c>
      <c r="G40">
        <v>0</v>
      </c>
      <c r="H40">
        <f t="shared" si="0"/>
        <v>-30.747045437699999</v>
      </c>
      <c r="I40">
        <f t="shared" si="1"/>
        <v>-0.481160487385</v>
      </c>
    </row>
    <row r="41" spans="1:13" x14ac:dyDescent="0.25">
      <c r="A41">
        <v>15.6</v>
      </c>
      <c r="B41">
        <v>-10035752.529200001</v>
      </c>
      <c r="C41">
        <v>-27756451.876400001</v>
      </c>
      <c r="D41" s="1">
        <v>0</v>
      </c>
      <c r="E41" s="1">
        <v>1.60691299365E-3</v>
      </c>
      <c r="F41" s="1">
        <v>-4.40985551179E-3</v>
      </c>
      <c r="G41">
        <v>0</v>
      </c>
      <c r="H41">
        <f t="shared" si="0"/>
        <v>-27.7564518764</v>
      </c>
      <c r="I41">
        <f t="shared" si="1"/>
        <v>-0.44098555117900001</v>
      </c>
    </row>
    <row r="42" spans="1:13" x14ac:dyDescent="0.25">
      <c r="A42">
        <v>16</v>
      </c>
      <c r="B42">
        <v>-10036095.039100001</v>
      </c>
      <c r="C42">
        <v>-24765858.315000001</v>
      </c>
      <c r="D42" s="1">
        <v>0</v>
      </c>
      <c r="E42" s="1">
        <v>1.4328913509499999E-3</v>
      </c>
      <c r="F42" s="1">
        <v>-4.0081061497399999E-3</v>
      </c>
      <c r="G42">
        <v>0</v>
      </c>
      <c r="H42">
        <f t="shared" si="0"/>
        <v>-24.765858315000003</v>
      </c>
      <c r="I42">
        <f t="shared" si="1"/>
        <v>-0.400810614974</v>
      </c>
    </row>
    <row r="43" spans="1:13" x14ac:dyDescent="0.25">
      <c r="A43">
        <v>16.399999999999999</v>
      </c>
      <c r="B43">
        <v>-10036667.649599999</v>
      </c>
      <c r="C43">
        <v>-21777956.479600001</v>
      </c>
      <c r="D43" s="1">
        <v>0</v>
      </c>
      <c r="E43" s="1">
        <v>1.25896084314E-3</v>
      </c>
      <c r="F43" s="1">
        <v>-3.60666850368E-3</v>
      </c>
      <c r="G43">
        <v>0</v>
      </c>
      <c r="H43">
        <f t="shared" si="0"/>
        <v>-21.7779564796</v>
      </c>
      <c r="I43">
        <f t="shared" si="1"/>
        <v>-0.360666850368</v>
      </c>
      <c r="L43" t="s">
        <v>27</v>
      </c>
      <c r="M43">
        <f>RSQ(C2:C52, Sheet2!C2:C52)</f>
        <v>0.97570220074043901</v>
      </c>
    </row>
    <row r="44" spans="1:13" x14ac:dyDescent="0.25">
      <c r="A44">
        <v>16.8</v>
      </c>
      <c r="B44">
        <v>-10037284.240599999</v>
      </c>
      <c r="C44">
        <v>-18790569.129700001</v>
      </c>
      <c r="D44" s="1">
        <v>0</v>
      </c>
      <c r="E44" s="1">
        <v>1.08504775448E-3</v>
      </c>
      <c r="F44" s="1">
        <v>-3.2052904377499998E-3</v>
      </c>
      <c r="G44">
        <v>0</v>
      </c>
      <c r="H44">
        <f t="shared" si="0"/>
        <v>-18.7905691297</v>
      </c>
      <c r="I44">
        <f t="shared" si="1"/>
        <v>-0.32052904377499997</v>
      </c>
    </row>
    <row r="45" spans="1:13" x14ac:dyDescent="0.25">
      <c r="A45">
        <v>17.2</v>
      </c>
      <c r="B45">
        <v>-10037704.6655</v>
      </c>
      <c r="C45">
        <v>-15803874.359999999</v>
      </c>
      <c r="D45" s="1">
        <v>0</v>
      </c>
      <c r="E45" s="1">
        <v>9.1120650904900002E-4</v>
      </c>
      <c r="F45" s="1">
        <v>-2.8040242549499999E-3</v>
      </c>
      <c r="G45">
        <v>0</v>
      </c>
      <c r="H45">
        <f t="shared" si="0"/>
        <v>-15.80387436</v>
      </c>
      <c r="I45">
        <f t="shared" si="1"/>
        <v>-0.280402425495</v>
      </c>
    </row>
    <row r="46" spans="1:13" x14ac:dyDescent="0.25">
      <c r="A46">
        <v>17.600000000000001</v>
      </c>
      <c r="B46">
        <v>-10037587.451400001</v>
      </c>
      <c r="C46">
        <v>-12819077.7674</v>
      </c>
      <c r="D46" s="1">
        <v>0</v>
      </c>
      <c r="E46" s="1">
        <v>7.3756216670199995E-4</v>
      </c>
      <c r="F46" s="1">
        <v>-2.4030647139000002E-3</v>
      </c>
      <c r="G46">
        <v>0</v>
      </c>
      <c r="H46">
        <f t="shared" si="0"/>
        <v>-12.8190777674</v>
      </c>
      <c r="I46">
        <f t="shared" si="1"/>
        <v>-0.24030647139000003</v>
      </c>
    </row>
    <row r="47" spans="1:13" x14ac:dyDescent="0.25">
      <c r="A47">
        <v>18</v>
      </c>
      <c r="B47">
        <v>-10037470.237400001</v>
      </c>
      <c r="C47">
        <v>-9834281.1748600006</v>
      </c>
      <c r="D47" s="1">
        <v>0</v>
      </c>
      <c r="E47" s="1">
        <v>5.6391782435400003E-4</v>
      </c>
      <c r="F47" s="1">
        <v>-2.0021051728500001E-3</v>
      </c>
      <c r="G47">
        <v>0</v>
      </c>
      <c r="H47">
        <f t="shared" si="0"/>
        <v>-9.834281174860001</v>
      </c>
      <c r="I47">
        <f t="shared" si="1"/>
        <v>-0.200210517285</v>
      </c>
    </row>
    <row r="48" spans="1:13" x14ac:dyDescent="0.25">
      <c r="A48">
        <v>18.399999999999999</v>
      </c>
      <c r="B48">
        <v>-10037680.657400001</v>
      </c>
      <c r="C48">
        <v>-6852474.1344499998</v>
      </c>
      <c r="D48" s="1">
        <v>0</v>
      </c>
      <c r="E48" s="1">
        <v>3.9035124375399999E-4</v>
      </c>
      <c r="F48" s="1">
        <v>-1.6015032180300001E-3</v>
      </c>
      <c r="G48">
        <v>0</v>
      </c>
      <c r="H48">
        <f t="shared" si="0"/>
        <v>-6.8524741344499995</v>
      </c>
      <c r="I48">
        <f t="shared" si="1"/>
        <v>-0.16015032180300001</v>
      </c>
    </row>
    <row r="49" spans="1:9" x14ac:dyDescent="0.25">
      <c r="A49">
        <v>18.8</v>
      </c>
      <c r="B49">
        <v>-10037897.4529</v>
      </c>
      <c r="C49">
        <v>-3870725.26841</v>
      </c>
      <c r="D49" s="1">
        <v>0</v>
      </c>
      <c r="E49" s="1">
        <v>2.1678617633600001E-4</v>
      </c>
      <c r="F49" s="1">
        <v>-1.20090822156E-3</v>
      </c>
      <c r="G49">
        <v>0</v>
      </c>
      <c r="H49">
        <f t="shared" si="0"/>
        <v>-3.8707252684100002</v>
      </c>
      <c r="I49">
        <f t="shared" si="1"/>
        <v>-0.120090822156</v>
      </c>
    </row>
    <row r="50" spans="1:9" x14ac:dyDescent="0.25">
      <c r="A50">
        <v>19.2</v>
      </c>
      <c r="B50">
        <v>-10034234.9617</v>
      </c>
      <c r="C50">
        <v>-1752619.71753</v>
      </c>
      <c r="D50" s="1">
        <v>0</v>
      </c>
      <c r="E50" s="1">
        <v>-2.85923778466E-6</v>
      </c>
      <c r="F50" s="1">
        <v>-8.0046288881800004E-4</v>
      </c>
      <c r="G50">
        <v>0</v>
      </c>
      <c r="H50">
        <f t="shared" si="0"/>
        <v>-1.75261971753</v>
      </c>
      <c r="I50">
        <f t="shared" si="1"/>
        <v>-8.0046288881800001E-2</v>
      </c>
    </row>
    <row r="51" spans="1:9" x14ac:dyDescent="0.25">
      <c r="A51">
        <v>19.600000000000001</v>
      </c>
      <c r="B51">
        <v>-10025028.480900001</v>
      </c>
      <c r="C51">
        <v>-868769.35876700003</v>
      </c>
      <c r="D51" s="1">
        <v>0</v>
      </c>
      <c r="E51" s="1">
        <v>-2.8835927750600003E-4</v>
      </c>
      <c r="F51" s="1">
        <v>-4.0023144440900002E-4</v>
      </c>
      <c r="G51">
        <v>0</v>
      </c>
      <c r="H51">
        <f t="shared" si="0"/>
        <v>-0.86876935876700001</v>
      </c>
      <c r="I51">
        <f t="shared" si="1"/>
        <v>-4.0023144440900001E-2</v>
      </c>
    </row>
    <row r="52" spans="1:9" x14ac:dyDescent="0.25">
      <c r="A52">
        <v>20</v>
      </c>
      <c r="B52">
        <v>-10015822</v>
      </c>
      <c r="C52">
        <v>15081</v>
      </c>
      <c r="D52" s="1">
        <v>0</v>
      </c>
      <c r="E52" s="1">
        <v>-5.7385931722799997E-4</v>
      </c>
      <c r="F52" s="1">
        <v>0</v>
      </c>
      <c r="G52">
        <v>0</v>
      </c>
      <c r="H52">
        <f t="shared" si="0"/>
        <v>1.5081000000000001E-2</v>
      </c>
      <c r="I52">
        <f t="shared" si="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2"/>
  <sheetViews>
    <sheetView topLeftCell="A2" zoomScaleNormal="100" workbookViewId="0">
      <selection activeCell="D10" sqref="D10"/>
    </sheetView>
  </sheetViews>
  <sheetFormatPr defaultRowHeight="15" x14ac:dyDescent="0.25"/>
  <cols>
    <col min="1" max="1" width="5.140625" bestFit="1" customWidth="1"/>
    <col min="2" max="3" width="12.7109375" bestFit="1" customWidth="1"/>
    <col min="4" max="4" width="12.7109375" customWidth="1"/>
    <col min="5" max="5" width="12" bestFit="1" customWidth="1"/>
    <col min="6" max="6" width="12.7109375" bestFit="1" customWidth="1"/>
    <col min="7" max="7" width="9" customWidth="1"/>
    <col min="8" max="10" width="12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5">
      <c r="A2">
        <v>0</v>
      </c>
      <c r="B2" s="1">
        <v>-10000000</v>
      </c>
      <c r="C2" s="1">
        <v>-5996138.1740899999</v>
      </c>
      <c r="D2">
        <v>0</v>
      </c>
      <c r="E2">
        <v>0</v>
      </c>
      <c r="F2">
        <v>0</v>
      </c>
      <c r="G2">
        <v>0</v>
      </c>
      <c r="H2">
        <f>(C2)/1000000</f>
        <v>-5.9961381740899995</v>
      </c>
      <c r="I2" s="1">
        <f>F2*100</f>
        <v>0</v>
      </c>
    </row>
    <row r="3" spans="1:9" x14ac:dyDescent="0.25">
      <c r="A3">
        <v>0.4</v>
      </c>
      <c r="B3">
        <v>-10422651.8935</v>
      </c>
      <c r="C3">
        <v>-9796138.1740899999</v>
      </c>
      <c r="D3">
        <v>-16006.873185099999</v>
      </c>
      <c r="E3" s="1">
        <v>-4.8199794533900002E-4</v>
      </c>
      <c r="F3" s="1">
        <v>-3.9646675938199999E-4</v>
      </c>
      <c r="G3" s="1">
        <v>-2.61501594339E-5</v>
      </c>
      <c r="H3">
        <f t="shared" ref="H3:H52" si="0">(C3)/1000000</f>
        <v>-9.7961381740900002</v>
      </c>
      <c r="I3" s="1">
        <f t="shared" ref="I3:I52" si="1">F3*100</f>
        <v>-3.9646675938199996E-2</v>
      </c>
    </row>
    <row r="4" spans="1:9" x14ac:dyDescent="0.25">
      <c r="A4">
        <v>0.8</v>
      </c>
      <c r="B4">
        <v>-10431835.5338</v>
      </c>
      <c r="C4">
        <v>-14246395.166300001</v>
      </c>
      <c r="D4">
        <v>28680.941256099999</v>
      </c>
      <c r="E4" s="1">
        <v>-2.8105670087000002E-4</v>
      </c>
      <c r="F4" s="1">
        <v>-7.9001026463199997E-4</v>
      </c>
      <c r="G4" s="1">
        <v>-2.8808622994400001E-5</v>
      </c>
      <c r="H4">
        <f t="shared" si="0"/>
        <v>-14.246395166300001</v>
      </c>
      <c r="I4" s="1">
        <f t="shared" si="1"/>
        <v>-7.9001026463199994E-2</v>
      </c>
    </row>
    <row r="5" spans="1:9" x14ac:dyDescent="0.25">
      <c r="A5">
        <v>1.2</v>
      </c>
      <c r="B5">
        <v>-10443934.9538</v>
      </c>
      <c r="C5">
        <v>-18354383.630800001</v>
      </c>
      <c r="D5">
        <v>80608.471596999996</v>
      </c>
      <c r="E5" s="1">
        <v>-5.82779362428E-5</v>
      </c>
      <c r="F5" s="1">
        <v>-1.1806220023099999E-3</v>
      </c>
      <c r="G5" s="1">
        <v>-4.11670212256E-5</v>
      </c>
      <c r="H5">
        <f t="shared" si="0"/>
        <v>-18.354383630800001</v>
      </c>
      <c r="I5" s="1">
        <f t="shared" si="1"/>
        <v>-0.11806220023099999</v>
      </c>
    </row>
    <row r="6" spans="1:9" x14ac:dyDescent="0.25">
      <c r="A6">
        <v>1.6</v>
      </c>
      <c r="B6">
        <v>-10473535.717900001</v>
      </c>
      <c r="C6">
        <v>-22061920.759</v>
      </c>
      <c r="D6">
        <v>76994.700561200007</v>
      </c>
      <c r="E6" s="1">
        <v>2.0311092515200001E-4</v>
      </c>
      <c r="F6" s="1">
        <v>-1.57163660282E-3</v>
      </c>
      <c r="G6" s="1">
        <v>-6.9014826516299995E-5</v>
      </c>
      <c r="H6">
        <f t="shared" si="0"/>
        <v>-22.061920758999999</v>
      </c>
      <c r="I6" s="1">
        <f t="shared" si="1"/>
        <v>-0.15716366028200002</v>
      </c>
    </row>
    <row r="7" spans="1:9" x14ac:dyDescent="0.25">
      <c r="A7">
        <v>2</v>
      </c>
      <c r="B7">
        <v>-10426083.2886</v>
      </c>
      <c r="C7">
        <v>-25217554.048500001</v>
      </c>
      <c r="D7">
        <v>105732.521446</v>
      </c>
      <c r="E7" s="1">
        <v>5.3198059267600001E-4</v>
      </c>
      <c r="F7" s="1">
        <v>-1.9671630956500001E-3</v>
      </c>
      <c r="G7" s="1">
        <v>-9.8492740259199999E-5</v>
      </c>
      <c r="H7">
        <f t="shared" si="0"/>
        <v>-25.217554048500002</v>
      </c>
      <c r="I7" s="1">
        <f t="shared" si="1"/>
        <v>-0.19671630956500002</v>
      </c>
    </row>
    <row r="8" spans="1:9" x14ac:dyDescent="0.25">
      <c r="A8">
        <v>2.4</v>
      </c>
      <c r="B8">
        <v>-10526555.444800001</v>
      </c>
      <c r="C8">
        <v>-27898760.287599999</v>
      </c>
      <c r="D8">
        <v>13572.569475</v>
      </c>
      <c r="E8" s="1">
        <v>9.2720452899299995E-4</v>
      </c>
      <c r="F8">
        <v>-2.3575076732099999E-3</v>
      </c>
      <c r="G8" s="1">
        <v>-1.27295097879E-4</v>
      </c>
      <c r="H8">
        <f t="shared" si="0"/>
        <v>-27.898760287599998</v>
      </c>
      <c r="I8" s="1">
        <f t="shared" si="1"/>
        <v>-0.23575076732099998</v>
      </c>
    </row>
    <row r="9" spans="1:9" x14ac:dyDescent="0.25">
      <c r="A9">
        <v>2.8</v>
      </c>
      <c r="B9">
        <v>-10641729.374199999</v>
      </c>
      <c r="C9">
        <v>-30000290.503400002</v>
      </c>
      <c r="D9">
        <v>9825.1168137099994</v>
      </c>
      <c r="E9" s="1">
        <v>1.4232901212500001E-3</v>
      </c>
      <c r="F9" s="1">
        <v>-2.7437405338099998E-3</v>
      </c>
      <c r="G9" s="1">
        <v>-1.55536565197E-4</v>
      </c>
      <c r="H9">
        <f t="shared" si="0"/>
        <v>-30.000290503400002</v>
      </c>
      <c r="I9" s="1">
        <f t="shared" si="1"/>
        <v>-0.27437405338099996</v>
      </c>
    </row>
    <row r="10" spans="1:9" x14ac:dyDescent="0.25">
      <c r="A10">
        <v>3.2</v>
      </c>
      <c r="B10">
        <v>-10677059.472899999</v>
      </c>
      <c r="C10">
        <v>-32064254.271299999</v>
      </c>
      <c r="D10">
        <v>-34334.910241400001</v>
      </c>
      <c r="E10" s="1">
        <v>1.9143462570499999E-3</v>
      </c>
      <c r="F10">
        <v>-3.1256906262300001E-3</v>
      </c>
      <c r="G10" s="1">
        <v>-1.8503178093899999E-4</v>
      </c>
      <c r="H10">
        <f t="shared" si="0"/>
        <v>-32.064254271300001</v>
      </c>
      <c r="I10" s="1">
        <f t="shared" si="1"/>
        <v>-0.31256906262299999</v>
      </c>
    </row>
    <row r="11" spans="1:9" x14ac:dyDescent="0.25">
      <c r="A11">
        <v>3.6</v>
      </c>
      <c r="B11">
        <v>-10621364.540100001</v>
      </c>
      <c r="C11">
        <v>-34100997.594499998</v>
      </c>
      <c r="D11">
        <v>-47893.2003731</v>
      </c>
      <c r="E11" s="1">
        <v>2.4236088271100001E-3</v>
      </c>
      <c r="F11" s="1">
        <v>-3.51090515829E-3</v>
      </c>
      <c r="G11" s="1">
        <v>-2.0500346093500001E-4</v>
      </c>
      <c r="H11">
        <f t="shared" si="0"/>
        <v>-34.100997594500001</v>
      </c>
      <c r="I11" s="1">
        <f t="shared" si="1"/>
        <v>-0.35109051582899997</v>
      </c>
    </row>
    <row r="12" spans="1:9" x14ac:dyDescent="0.25">
      <c r="A12">
        <v>4</v>
      </c>
      <c r="B12">
        <v>-10522714.3134</v>
      </c>
      <c r="C12">
        <v>-36039318.451499999</v>
      </c>
      <c r="D12">
        <v>-62290.444873499997</v>
      </c>
      <c r="E12" s="1">
        <v>2.96599115045E-3</v>
      </c>
      <c r="F12">
        <v>-3.9007093224499999E-3</v>
      </c>
      <c r="G12" s="1">
        <v>-2.23805267011E-4</v>
      </c>
      <c r="H12">
        <f t="shared" si="0"/>
        <v>-36.039318451500002</v>
      </c>
      <c r="I12" s="1">
        <f t="shared" si="1"/>
        <v>-0.390070932245</v>
      </c>
    </row>
    <row r="13" spans="1:9" x14ac:dyDescent="0.25">
      <c r="A13">
        <v>4.4000000000000004</v>
      </c>
      <c r="B13">
        <v>-10504755.004899999</v>
      </c>
      <c r="C13">
        <v>-37874464.830899999</v>
      </c>
      <c r="D13">
        <v>-40532.613215700003</v>
      </c>
      <c r="E13" s="1">
        <v>3.5584826338899999E-3</v>
      </c>
      <c r="F13" s="1">
        <v>-4.2943347767300001E-3</v>
      </c>
      <c r="G13" s="1">
        <v>-2.41778739E-4</v>
      </c>
      <c r="H13">
        <f t="shared" si="0"/>
        <v>-37.874464830899996</v>
      </c>
      <c r="I13" s="1">
        <f t="shared" si="1"/>
        <v>-0.429433477673</v>
      </c>
    </row>
    <row r="14" spans="1:9" x14ac:dyDescent="0.25">
      <c r="A14">
        <v>4.8</v>
      </c>
      <c r="B14">
        <v>-10458847.8693</v>
      </c>
      <c r="C14">
        <v>-39740337.575000003</v>
      </c>
      <c r="D14">
        <v>-53875.512037699998</v>
      </c>
      <c r="E14">
        <v>4.1411541947900003E-3</v>
      </c>
      <c r="F14">
        <v>-4.6813880568799997E-3</v>
      </c>
      <c r="G14" s="1">
        <v>-2.6461598764E-4</v>
      </c>
      <c r="H14">
        <f t="shared" si="0"/>
        <v>-39.740337575000005</v>
      </c>
      <c r="I14" s="1">
        <f t="shared" si="1"/>
        <v>-0.46813880568799998</v>
      </c>
    </row>
    <row r="15" spans="1:9" x14ac:dyDescent="0.25">
      <c r="A15">
        <v>5.2</v>
      </c>
      <c r="B15">
        <v>-10496209.1449</v>
      </c>
      <c r="C15">
        <v>-41473759.294299997</v>
      </c>
      <c r="D15">
        <v>-62972.677393799997</v>
      </c>
      <c r="E15">
        <v>4.78115938597E-3</v>
      </c>
      <c r="F15" s="1">
        <v>-5.0654445578100001E-3</v>
      </c>
      <c r="G15" s="1">
        <v>-2.93728361273E-4</v>
      </c>
      <c r="H15">
        <f t="shared" si="0"/>
        <v>-41.473759294299995</v>
      </c>
      <c r="I15" s="1">
        <f t="shared" si="1"/>
        <v>-0.50654445578100005</v>
      </c>
    </row>
    <row r="16" spans="1:9" x14ac:dyDescent="0.25">
      <c r="A16">
        <v>5.6</v>
      </c>
      <c r="B16">
        <v>-10563932.531400001</v>
      </c>
      <c r="C16">
        <v>-43148461.2883</v>
      </c>
      <c r="D16">
        <v>39778.073739599997</v>
      </c>
      <c r="E16">
        <v>5.4610252567199999E-3</v>
      </c>
      <c r="F16">
        <v>-5.4562017539600003E-3</v>
      </c>
      <c r="G16" s="1">
        <v>-3.3320983663399998E-4</v>
      </c>
      <c r="H16">
        <f t="shared" si="0"/>
        <v>-43.148461288299998</v>
      </c>
      <c r="I16" s="1">
        <f t="shared" si="1"/>
        <v>-0.54562017539600005</v>
      </c>
    </row>
    <row r="17" spans="1:9" x14ac:dyDescent="0.25">
      <c r="A17">
        <v>6</v>
      </c>
      <c r="B17">
        <v>-10567825.9976</v>
      </c>
      <c r="C17">
        <v>-44502825.478100002</v>
      </c>
      <c r="D17">
        <v>22779.741020500001</v>
      </c>
      <c r="E17">
        <v>6.2256033637600001E-3</v>
      </c>
      <c r="F17" s="1">
        <v>-5.8421107684999999E-3</v>
      </c>
      <c r="G17" s="1">
        <v>-3.8226371418000001E-4</v>
      </c>
      <c r="H17">
        <f t="shared" si="0"/>
        <v>-44.5028254781</v>
      </c>
      <c r="I17" s="1">
        <f t="shared" si="1"/>
        <v>-0.58421107684999996</v>
      </c>
    </row>
    <row r="18" spans="1:9" x14ac:dyDescent="0.25">
      <c r="A18">
        <v>6.4</v>
      </c>
      <c r="B18">
        <v>-10584521.3673</v>
      </c>
      <c r="C18">
        <v>-45960192.0207</v>
      </c>
      <c r="D18">
        <v>-1254.7682842700001</v>
      </c>
      <c r="E18" s="1">
        <v>6.9868167726500003E-3</v>
      </c>
      <c r="F18">
        <v>-6.2272479344999999E-3</v>
      </c>
      <c r="G18" s="1">
        <v>-4.3915089213200002E-4</v>
      </c>
      <c r="H18">
        <f t="shared" si="0"/>
        <v>-45.960192020699999</v>
      </c>
      <c r="I18" s="1">
        <f t="shared" si="1"/>
        <v>-0.62272479344999998</v>
      </c>
    </row>
    <row r="19" spans="1:9" x14ac:dyDescent="0.25">
      <c r="A19">
        <v>6.8</v>
      </c>
      <c r="B19">
        <v>-10543607.2656</v>
      </c>
      <c r="C19">
        <v>-47030905.153499998</v>
      </c>
      <c r="D19">
        <v>71064.208461400005</v>
      </c>
      <c r="E19" s="1">
        <v>7.7890229437600003E-3</v>
      </c>
      <c r="F19" s="1">
        <v>-6.6061161905899999E-3</v>
      </c>
      <c r="G19" s="1">
        <v>-4.8321322042799999E-4</v>
      </c>
      <c r="H19">
        <f t="shared" si="0"/>
        <v>-47.030905153500001</v>
      </c>
      <c r="I19" s="1">
        <f t="shared" si="1"/>
        <v>-0.66061161905900001</v>
      </c>
    </row>
    <row r="20" spans="1:9" x14ac:dyDescent="0.25">
      <c r="A20">
        <v>7.2</v>
      </c>
      <c r="B20">
        <v>-10545795.487500001</v>
      </c>
      <c r="C20">
        <v>-48412467.116599999</v>
      </c>
      <c r="D20">
        <v>56888.453619400003</v>
      </c>
      <c r="E20" s="1">
        <v>8.5264381468999999E-3</v>
      </c>
      <c r="F20">
        <v>-6.9888143152400002E-3</v>
      </c>
      <c r="G20" s="1">
        <v>-5.2685176127E-4</v>
      </c>
      <c r="H20">
        <f t="shared" si="0"/>
        <v>-48.412467116599998</v>
      </c>
      <c r="I20" s="1">
        <f t="shared" si="1"/>
        <v>-0.69888143152400006</v>
      </c>
    </row>
    <row r="21" spans="1:9" x14ac:dyDescent="0.25">
      <c r="A21">
        <v>7.6</v>
      </c>
      <c r="B21">
        <v>-10621486.9308</v>
      </c>
      <c r="C21">
        <v>-49619357.472499996</v>
      </c>
      <c r="D21">
        <v>126843.681472</v>
      </c>
      <c r="E21" s="1">
        <v>9.3345669389800004E-3</v>
      </c>
      <c r="F21" s="1">
        <v>-7.3784142208799999E-3</v>
      </c>
      <c r="G21" s="1">
        <v>-5.8679367163900001E-4</v>
      </c>
      <c r="H21">
        <f t="shared" si="0"/>
        <v>-49.619357472499999</v>
      </c>
      <c r="I21" s="1">
        <f t="shared" si="1"/>
        <v>-0.73784142208799997</v>
      </c>
    </row>
    <row r="22" spans="1:9" x14ac:dyDescent="0.25">
      <c r="A22">
        <v>8</v>
      </c>
      <c r="B22">
        <v>-10533437.610200001</v>
      </c>
      <c r="C22">
        <v>-50585197.157899998</v>
      </c>
      <c r="D22">
        <v>152276.81085099999</v>
      </c>
      <c r="E22" s="1">
        <v>1.0173965484399999E-2</v>
      </c>
      <c r="F22">
        <v>-7.7680133977699999E-3</v>
      </c>
      <c r="G22" s="1">
        <v>-6.4753617726999999E-4</v>
      </c>
      <c r="H22">
        <f t="shared" si="0"/>
        <v>-50.585197157899998</v>
      </c>
      <c r="I22" s="1">
        <f t="shared" si="1"/>
        <v>-0.77680133977699994</v>
      </c>
    </row>
    <row r="23" spans="1:9" x14ac:dyDescent="0.25">
      <c r="A23">
        <v>8.4</v>
      </c>
      <c r="B23">
        <v>-10458099.2108</v>
      </c>
      <c r="C23">
        <v>-51391503.015100002</v>
      </c>
      <c r="D23">
        <v>136925.515835</v>
      </c>
      <c r="E23" s="1">
        <v>1.09514678703E-2</v>
      </c>
      <c r="F23" s="1">
        <v>-8.1098298611700006E-3</v>
      </c>
      <c r="G23" s="1">
        <v>-7.0779904440200004E-4</v>
      </c>
      <c r="H23">
        <f t="shared" si="0"/>
        <v>-51.3915030151</v>
      </c>
      <c r="I23" s="1">
        <f t="shared" si="1"/>
        <v>-0.81098298611700004</v>
      </c>
    </row>
    <row r="24" spans="1:9" x14ac:dyDescent="0.25">
      <c r="A24">
        <v>8.8000000000000007</v>
      </c>
      <c r="B24">
        <v>-10311177.719599999</v>
      </c>
      <c r="C24">
        <v>-51745077.024599999</v>
      </c>
      <c r="D24">
        <v>106371.750272</v>
      </c>
      <c r="E24" s="1">
        <v>1.1636251812999999E-2</v>
      </c>
      <c r="F24">
        <v>-8.3875106591799996E-3</v>
      </c>
      <c r="G24" s="1">
        <v>-7.6365364207699995E-4</v>
      </c>
      <c r="H24">
        <f t="shared" si="0"/>
        <v>-51.7450770246</v>
      </c>
      <c r="I24" s="1">
        <f t="shared" si="1"/>
        <v>-0.83875106591799997</v>
      </c>
    </row>
    <row r="25" spans="1:9" x14ac:dyDescent="0.25">
      <c r="A25">
        <v>9.1999999999999993</v>
      </c>
      <c r="B25">
        <v>-10145026.312799999</v>
      </c>
      <c r="C25">
        <v>-51856653.3741</v>
      </c>
      <c r="D25">
        <v>88719.276409800004</v>
      </c>
      <c r="E25" s="1">
        <v>1.21462446038E-2</v>
      </c>
      <c r="F25" s="1">
        <v>-8.5793391341599991E-3</v>
      </c>
      <c r="G25" s="1">
        <v>-8.01727113965E-4</v>
      </c>
      <c r="H25">
        <f t="shared" si="0"/>
        <v>-51.856653374099999</v>
      </c>
      <c r="I25" s="1">
        <f t="shared" si="1"/>
        <v>-0.85793391341599989</v>
      </c>
    </row>
    <row r="26" spans="1:9" x14ac:dyDescent="0.25">
      <c r="A26">
        <v>9.6</v>
      </c>
      <c r="B26">
        <v>-10020470.753900001</v>
      </c>
      <c r="C26">
        <v>-51819697.365999997</v>
      </c>
      <c r="D26">
        <v>53034.665376999998</v>
      </c>
      <c r="E26" s="1">
        <v>1.24746279719E-2</v>
      </c>
      <c r="F26">
        <v>-8.6918828053800003E-3</v>
      </c>
      <c r="G26" s="1">
        <v>-8.2018578661400003E-4</v>
      </c>
      <c r="H26">
        <f t="shared" si="0"/>
        <v>-51.819697366</v>
      </c>
      <c r="I26" s="1">
        <f t="shared" si="1"/>
        <v>-0.86918828053800001</v>
      </c>
    </row>
    <row r="27" spans="1:9" x14ac:dyDescent="0.25">
      <c r="A27">
        <v>10</v>
      </c>
      <c r="B27">
        <v>-9842637.2926899996</v>
      </c>
      <c r="C27">
        <v>-51449971.918099999</v>
      </c>
      <c r="D27">
        <v>60197.141192900002</v>
      </c>
      <c r="E27" s="1">
        <v>1.2650648204500001E-2</v>
      </c>
      <c r="F27" s="1">
        <v>-8.7214687197599994E-3</v>
      </c>
      <c r="G27" s="1">
        <v>-8.2594860096499995E-4</v>
      </c>
      <c r="H27">
        <f t="shared" si="0"/>
        <v>-51.449971918099997</v>
      </c>
      <c r="I27" s="1">
        <f t="shared" si="1"/>
        <v>-0.87214687197599994</v>
      </c>
    </row>
    <row r="28" spans="1:9" x14ac:dyDescent="0.25">
      <c r="A28">
        <v>10.4</v>
      </c>
      <c r="B28">
        <v>-9730681.1544899996</v>
      </c>
      <c r="C28">
        <v>-51007303.086400002</v>
      </c>
      <c r="D28">
        <v>49272.321499899997</v>
      </c>
      <c r="E28" s="1">
        <v>1.2649162412899999E-2</v>
      </c>
      <c r="F28">
        <v>-8.6816741338400002E-3</v>
      </c>
      <c r="G28" s="1">
        <v>-8.3073597330999996E-4</v>
      </c>
      <c r="H28">
        <f t="shared" si="0"/>
        <v>-51.0073030864</v>
      </c>
      <c r="I28" s="1">
        <f t="shared" si="1"/>
        <v>-0.86816741338400005</v>
      </c>
    </row>
    <row r="29" spans="1:9" x14ac:dyDescent="0.25">
      <c r="A29">
        <v>10.8</v>
      </c>
      <c r="B29">
        <v>-9589509.1173100006</v>
      </c>
      <c r="C29">
        <v>-50240462.471699998</v>
      </c>
      <c r="D29">
        <v>31383.1004722</v>
      </c>
      <c r="E29" s="1">
        <v>1.2508288191499999E-2</v>
      </c>
      <c r="F29" s="1">
        <v>-8.5645630904099997E-3</v>
      </c>
      <c r="G29" s="1">
        <v>-8.2830712317300003E-4</v>
      </c>
      <c r="H29">
        <f t="shared" si="0"/>
        <v>-50.240462471699999</v>
      </c>
      <c r="I29" s="1">
        <f t="shared" si="1"/>
        <v>-0.85645630904100001</v>
      </c>
    </row>
    <row r="30" spans="1:9" x14ac:dyDescent="0.25">
      <c r="A30">
        <v>11.2</v>
      </c>
      <c r="B30">
        <v>-9442485.3002499994</v>
      </c>
      <c r="C30">
        <v>-49163310.086499996</v>
      </c>
      <c r="D30">
        <v>11837.320526699999</v>
      </c>
      <c r="E30" s="1">
        <v>1.22141379888E-2</v>
      </c>
      <c r="F30">
        <v>-8.3702494795399995E-3</v>
      </c>
      <c r="G30" s="1">
        <v>-8.1929985288899999E-4</v>
      </c>
      <c r="H30">
        <f t="shared" si="0"/>
        <v>-49.163310086499997</v>
      </c>
      <c r="I30" s="1">
        <f t="shared" si="1"/>
        <v>-0.83702494795399995</v>
      </c>
    </row>
    <row r="31" spans="1:9" x14ac:dyDescent="0.25">
      <c r="A31">
        <v>11.6</v>
      </c>
      <c r="B31">
        <v>-9306379.1569299996</v>
      </c>
      <c r="C31">
        <v>-47820023.068800002</v>
      </c>
      <c r="D31">
        <v>1674.7803618999999</v>
      </c>
      <c r="E31" s="1">
        <v>1.1769263026099999E-2</v>
      </c>
      <c r="F31" s="1">
        <v>-8.0965587685499999E-3</v>
      </c>
      <c r="G31" s="1">
        <v>-7.9832286500900005E-4</v>
      </c>
      <c r="H31">
        <f t="shared" si="0"/>
        <v>-47.820023068800005</v>
      </c>
      <c r="I31" s="1">
        <f t="shared" si="1"/>
        <v>-0.80965587685499996</v>
      </c>
    </row>
    <row r="32" spans="1:9" x14ac:dyDescent="0.25">
      <c r="A32">
        <v>12</v>
      </c>
      <c r="B32">
        <v>-9148665.4974499997</v>
      </c>
      <c r="C32">
        <v>-46125834.297700003</v>
      </c>
      <c r="D32">
        <v>-28305.365866</v>
      </c>
      <c r="E32" s="1">
        <v>1.1180701724699999E-2</v>
      </c>
      <c r="F32">
        <v>-7.7467368152900002E-3</v>
      </c>
      <c r="G32" s="1">
        <v>-7.7194633528100004E-4</v>
      </c>
      <c r="H32">
        <f t="shared" si="0"/>
        <v>-46.125834297700003</v>
      </c>
      <c r="I32" s="1">
        <f t="shared" si="1"/>
        <v>-0.77467368152900007</v>
      </c>
    </row>
    <row r="33" spans="1:9" x14ac:dyDescent="0.25">
      <c r="A33">
        <v>12.4</v>
      </c>
      <c r="B33">
        <v>-9089167.4653399996</v>
      </c>
      <c r="C33">
        <v>-44450860.785300002</v>
      </c>
      <c r="D33">
        <v>-55396.143208499998</v>
      </c>
      <c r="E33" s="1">
        <v>1.04744708714E-2</v>
      </c>
      <c r="F33" s="1">
        <v>-7.3573558934900002E-3</v>
      </c>
      <c r="G33" s="1">
        <v>-7.3619945332699995E-4</v>
      </c>
      <c r="H33">
        <f t="shared" si="0"/>
        <v>-44.450860785300002</v>
      </c>
      <c r="I33" s="1">
        <f t="shared" si="1"/>
        <v>-0.73573558934900007</v>
      </c>
    </row>
    <row r="34" spans="1:9" x14ac:dyDescent="0.25">
      <c r="A34">
        <v>12.8</v>
      </c>
      <c r="B34">
        <v>-9077479.0414899997</v>
      </c>
      <c r="C34">
        <v>-42858222.748300001</v>
      </c>
      <c r="D34">
        <v>-75288.191314900003</v>
      </c>
      <c r="E34" s="1">
        <v>9.7435221255399995E-3</v>
      </c>
      <c r="F34">
        <v>-6.9685634245800002E-3</v>
      </c>
      <c r="G34" s="1">
        <v>-6.97869097927E-4</v>
      </c>
      <c r="H34">
        <f t="shared" si="0"/>
        <v>-42.858222748300001</v>
      </c>
      <c r="I34" s="1">
        <f t="shared" si="1"/>
        <v>-0.69685634245799999</v>
      </c>
    </row>
    <row r="35" spans="1:9" x14ac:dyDescent="0.25">
      <c r="A35">
        <v>13.2</v>
      </c>
      <c r="B35">
        <v>-9066048.6300700009</v>
      </c>
      <c r="C35">
        <v>-41292664.1523</v>
      </c>
      <c r="D35">
        <v>-101434.36438</v>
      </c>
      <c r="E35" s="1">
        <v>9.0006728094400006E-3</v>
      </c>
      <c r="F35" s="1">
        <v>-6.5784922624699997E-3</v>
      </c>
      <c r="G35" s="1">
        <v>-6.5661711281200005E-4</v>
      </c>
      <c r="H35">
        <f t="shared" si="0"/>
        <v>-41.292664152299999</v>
      </c>
      <c r="I35" s="1">
        <f t="shared" si="1"/>
        <v>-0.65784922624699993</v>
      </c>
    </row>
    <row r="36" spans="1:9" x14ac:dyDescent="0.25">
      <c r="A36">
        <v>13.6</v>
      </c>
      <c r="B36">
        <v>-9065638.3222100008</v>
      </c>
      <c r="C36">
        <v>-39684144.137599997</v>
      </c>
      <c r="D36">
        <v>-124720.939874</v>
      </c>
      <c r="E36" s="1">
        <v>8.2736479311700008E-3</v>
      </c>
      <c r="F36">
        <v>-6.1898444508499996E-3</v>
      </c>
      <c r="G36" s="1">
        <v>-6.1748240832200005E-4</v>
      </c>
      <c r="H36">
        <f t="shared" si="0"/>
        <v>-39.684144137600001</v>
      </c>
      <c r="I36" s="1">
        <f t="shared" si="1"/>
        <v>-0.61898444508499995</v>
      </c>
    </row>
    <row r="37" spans="1:9" x14ac:dyDescent="0.25">
      <c r="A37">
        <v>14</v>
      </c>
      <c r="B37">
        <v>-9051037.1030499991</v>
      </c>
      <c r="C37">
        <v>-38123811.9943</v>
      </c>
      <c r="D37">
        <v>-146739.995666</v>
      </c>
      <c r="E37" s="1">
        <v>7.5365947790100004E-3</v>
      </c>
      <c r="F37" s="1">
        <v>-5.8041059184200001E-3</v>
      </c>
      <c r="G37" s="1">
        <v>-5.8155773709600003E-4</v>
      </c>
      <c r="H37">
        <f t="shared" si="0"/>
        <v>-38.123811994299999</v>
      </c>
      <c r="I37" s="1">
        <f t="shared" si="1"/>
        <v>-0.58041059184200006</v>
      </c>
    </row>
    <row r="38" spans="1:9" x14ac:dyDescent="0.25">
      <c r="A38">
        <v>14.4</v>
      </c>
      <c r="B38">
        <v>-9049720.0201099999</v>
      </c>
      <c r="C38">
        <v>-36578387.919</v>
      </c>
      <c r="D38">
        <v>-176632.522237</v>
      </c>
      <c r="E38" s="1">
        <v>6.7950988197599997E-3</v>
      </c>
      <c r="F38">
        <v>-5.4188151755799998E-3</v>
      </c>
      <c r="G38" s="1">
        <v>-5.4365696002200005E-4</v>
      </c>
      <c r="H38">
        <f t="shared" si="0"/>
        <v>-36.578387919000001</v>
      </c>
      <c r="I38" s="1">
        <f t="shared" si="1"/>
        <v>-0.54188151755799996</v>
      </c>
    </row>
    <row r="39" spans="1:9" x14ac:dyDescent="0.25">
      <c r="A39">
        <v>14.8</v>
      </c>
      <c r="B39">
        <v>-9056347.7504500002</v>
      </c>
      <c r="C39">
        <v>-34864624.159699999</v>
      </c>
      <c r="D39">
        <v>-179836.31662200001</v>
      </c>
      <c r="E39" s="1">
        <v>6.1036810316300004E-3</v>
      </c>
      <c r="F39" s="1">
        <v>-5.0335250377300002E-3</v>
      </c>
      <c r="G39" s="1">
        <v>-5.0024939525400002E-4</v>
      </c>
      <c r="H39">
        <f t="shared" si="0"/>
        <v>-34.8646241597</v>
      </c>
      <c r="I39" s="1">
        <f t="shared" si="1"/>
        <v>-0.503352503773</v>
      </c>
    </row>
    <row r="40" spans="1:9" x14ac:dyDescent="0.25">
      <c r="A40">
        <v>15.2</v>
      </c>
      <c r="B40">
        <v>-9058396.4373499993</v>
      </c>
      <c r="C40">
        <v>-33119090.309900001</v>
      </c>
      <c r="D40">
        <v>-172781.364975</v>
      </c>
      <c r="E40" s="1">
        <v>5.4213661359099998E-3</v>
      </c>
      <c r="F40">
        <v>-4.6488917849700001E-3</v>
      </c>
      <c r="G40" s="1">
        <v>-4.5862425049799998E-4</v>
      </c>
      <c r="H40">
        <f t="shared" si="0"/>
        <v>-33.119090309900002</v>
      </c>
      <c r="I40" s="1">
        <f t="shared" si="1"/>
        <v>-0.46488917849700001</v>
      </c>
    </row>
    <row r="41" spans="1:9" x14ac:dyDescent="0.25">
      <c r="A41">
        <v>15.6</v>
      </c>
      <c r="B41">
        <v>-9068514.8484199997</v>
      </c>
      <c r="C41">
        <v>-31382087.408399999</v>
      </c>
      <c r="D41">
        <v>-163086.81321699999</v>
      </c>
      <c r="E41" s="1">
        <v>4.7344780408E-3</v>
      </c>
      <c r="F41" s="1">
        <v>-4.2608392979799998E-3</v>
      </c>
      <c r="G41" s="1">
        <v>-4.10193604874E-4</v>
      </c>
      <c r="H41">
        <f t="shared" si="0"/>
        <v>-31.3820874084</v>
      </c>
      <c r="I41" s="1">
        <f t="shared" si="1"/>
        <v>-0.42608392979799997</v>
      </c>
    </row>
    <row r="42" spans="1:9" x14ac:dyDescent="0.25">
      <c r="A42">
        <v>16</v>
      </c>
      <c r="B42">
        <v>-9074015.3074999992</v>
      </c>
      <c r="C42">
        <v>-29560159.211100001</v>
      </c>
      <c r="D42">
        <v>-153104.701635</v>
      </c>
      <c r="E42" s="1">
        <v>4.0802947750200004E-3</v>
      </c>
      <c r="F42">
        <v>-3.87478942226E-3</v>
      </c>
      <c r="G42" s="1">
        <v>-3.6418337583500002E-4</v>
      </c>
      <c r="H42">
        <f t="shared" si="0"/>
        <v>-29.5601592111</v>
      </c>
      <c r="I42" s="1">
        <f t="shared" si="1"/>
        <v>-0.38747894222599999</v>
      </c>
    </row>
    <row r="43" spans="1:9" x14ac:dyDescent="0.25">
      <c r="A43">
        <v>16.399999999999999</v>
      </c>
      <c r="B43">
        <v>-9098062.8582000006</v>
      </c>
      <c r="C43">
        <v>-27677177.615499999</v>
      </c>
      <c r="D43">
        <v>-126080.075535</v>
      </c>
      <c r="E43" s="1">
        <v>3.4631338344500002E-3</v>
      </c>
      <c r="F43" s="1">
        <v>-3.4910581837599998E-3</v>
      </c>
      <c r="G43" s="1">
        <v>-3.1946891430499998E-4</v>
      </c>
      <c r="H43">
        <f t="shared" si="0"/>
        <v>-27.6771776155</v>
      </c>
      <c r="I43" s="1">
        <f t="shared" si="1"/>
        <v>-0.34910581837599997</v>
      </c>
    </row>
    <row r="44" spans="1:9" x14ac:dyDescent="0.25">
      <c r="A44">
        <v>16.8</v>
      </c>
      <c r="B44">
        <v>-9131709.3967300002</v>
      </c>
      <c r="C44">
        <v>-25760112.385000002</v>
      </c>
      <c r="D44">
        <v>-114461.55475900001</v>
      </c>
      <c r="E44" s="1">
        <v>2.87275758953E-3</v>
      </c>
      <c r="F44">
        <v>-3.1069035013400002E-3</v>
      </c>
      <c r="G44" s="1">
        <v>-2.73723376732E-4</v>
      </c>
      <c r="H44">
        <f t="shared" si="0"/>
        <v>-25.760112385000003</v>
      </c>
      <c r="I44" s="1">
        <f t="shared" si="1"/>
        <v>-0.31069035013400004</v>
      </c>
    </row>
    <row r="45" spans="1:9" x14ac:dyDescent="0.25">
      <c r="A45">
        <v>17.2</v>
      </c>
      <c r="B45">
        <v>-9167398.2015799992</v>
      </c>
      <c r="C45">
        <v>-23852508.799699999</v>
      </c>
      <c r="D45">
        <v>-103352.0689</v>
      </c>
      <c r="E45" s="1">
        <v>2.3051563199300001E-3</v>
      </c>
      <c r="F45" s="1">
        <v>-2.72441845647E-3</v>
      </c>
      <c r="G45" s="1">
        <v>-2.3923765304499999E-4</v>
      </c>
      <c r="H45">
        <f t="shared" si="0"/>
        <v>-23.852508799700001</v>
      </c>
      <c r="I45" s="1">
        <f t="shared" si="1"/>
        <v>-0.27244184564700002</v>
      </c>
    </row>
    <row r="46" spans="1:9" x14ac:dyDescent="0.25">
      <c r="A46">
        <v>17.600000000000001</v>
      </c>
      <c r="B46">
        <v>-9231409.9640900008</v>
      </c>
      <c r="C46">
        <v>-21841253.713</v>
      </c>
      <c r="D46">
        <v>-100788.619318</v>
      </c>
      <c r="E46" s="1">
        <v>1.7656723168700001E-3</v>
      </c>
      <c r="F46">
        <v>-2.3392242531200002E-3</v>
      </c>
      <c r="G46" s="1">
        <v>-2.0186625138100001E-4</v>
      </c>
      <c r="H46">
        <f t="shared" si="0"/>
        <v>-21.841253713</v>
      </c>
      <c r="I46" s="1">
        <f t="shared" si="1"/>
        <v>-0.23392242531200003</v>
      </c>
    </row>
    <row r="47" spans="1:9" x14ac:dyDescent="0.25">
      <c r="A47">
        <v>18</v>
      </c>
      <c r="B47">
        <v>-9267647.9953799993</v>
      </c>
      <c r="C47">
        <v>-19648390.7236</v>
      </c>
      <c r="D47">
        <v>-90911.058730300007</v>
      </c>
      <c r="E47" s="1">
        <v>1.2727737445799999E-3</v>
      </c>
      <c r="F47" s="1">
        <v>-1.95636488227E-3</v>
      </c>
      <c r="G47" s="1">
        <v>-1.6783910395499999E-4</v>
      </c>
      <c r="H47">
        <f t="shared" si="0"/>
        <v>-19.648390723599999</v>
      </c>
      <c r="I47" s="1">
        <f t="shared" si="1"/>
        <v>-0.195636488227</v>
      </c>
    </row>
    <row r="48" spans="1:9" x14ac:dyDescent="0.25">
      <c r="A48">
        <v>18.399999999999999</v>
      </c>
      <c r="B48">
        <v>-9335959.8316399995</v>
      </c>
      <c r="C48">
        <v>-17337571.4582</v>
      </c>
      <c r="D48">
        <v>-82021.295409800005</v>
      </c>
      <c r="E48" s="1">
        <v>8.0157499612900003E-4</v>
      </c>
      <c r="F48" s="1">
        <v>-1.5703435537E-3</v>
      </c>
      <c r="G48" s="1">
        <v>-1.3769341597700001E-4</v>
      </c>
      <c r="H48">
        <f t="shared" si="0"/>
        <v>-17.337571458199999</v>
      </c>
      <c r="I48" s="1">
        <f t="shared" si="1"/>
        <v>-0.15703435536999999</v>
      </c>
    </row>
    <row r="49" spans="1:9" x14ac:dyDescent="0.25">
      <c r="A49">
        <v>18.8</v>
      </c>
      <c r="B49">
        <v>-9360065.1509399991</v>
      </c>
      <c r="C49">
        <v>-14782886.1927</v>
      </c>
      <c r="D49">
        <v>-109139.854038</v>
      </c>
      <c r="E49" s="1">
        <v>3.6674549510499999E-4</v>
      </c>
      <c r="F49" s="1">
        <v>-1.1803501124900001E-3</v>
      </c>
      <c r="G49" s="1">
        <v>-1.0722396200600001E-4</v>
      </c>
      <c r="H49">
        <f t="shared" si="0"/>
        <v>-14.782886192700001</v>
      </c>
      <c r="I49" s="1">
        <f t="shared" si="1"/>
        <v>-0.11803501124900001</v>
      </c>
    </row>
    <row r="50" spans="1:9" x14ac:dyDescent="0.25">
      <c r="A50">
        <v>19.2</v>
      </c>
      <c r="B50">
        <v>-9413771.1231800001</v>
      </c>
      <c r="C50">
        <v>-11957898.427999999</v>
      </c>
      <c r="D50">
        <v>-157528.56544100001</v>
      </c>
      <c r="E50" s="1">
        <v>-1.15867582281E-5</v>
      </c>
      <c r="F50" s="1">
        <v>-7.91654603777E-4</v>
      </c>
      <c r="G50" s="1">
        <v>-7.77787611903E-5</v>
      </c>
      <c r="H50">
        <f t="shared" si="0"/>
        <v>-11.957898428</v>
      </c>
      <c r="I50" s="1">
        <f t="shared" si="1"/>
        <v>-7.9165460377700003E-2</v>
      </c>
    </row>
    <row r="51" spans="1:9" x14ac:dyDescent="0.25">
      <c r="A51">
        <v>19.600000000000001</v>
      </c>
      <c r="B51">
        <v>-9558107.5417999998</v>
      </c>
      <c r="C51">
        <v>-8572455.2624299992</v>
      </c>
      <c r="D51">
        <v>-140988.92733100001</v>
      </c>
      <c r="E51" s="1">
        <v>-3.0999778091899999E-4</v>
      </c>
      <c r="F51" s="1">
        <v>-3.96481391225E-4</v>
      </c>
      <c r="G51" s="1">
        <v>-5.0440012255100002E-5</v>
      </c>
      <c r="H51">
        <f t="shared" si="0"/>
        <v>-8.5724552624299992</v>
      </c>
      <c r="I51" s="1">
        <f t="shared" si="1"/>
        <v>-3.9648139122500002E-2</v>
      </c>
    </row>
    <row r="52" spans="1:9" x14ac:dyDescent="0.25">
      <c r="A52">
        <v>20</v>
      </c>
      <c r="B52">
        <v>-9619481.2282500006</v>
      </c>
      <c r="C52">
        <v>-4849523.3679299997</v>
      </c>
      <c r="D52">
        <v>-116491.081777</v>
      </c>
      <c r="E52" s="1">
        <v>-5.44898826024E-4</v>
      </c>
      <c r="F52" s="1">
        <v>2.63732800733E-6</v>
      </c>
      <c r="G52" s="1">
        <v>-2.90731877419E-5</v>
      </c>
      <c r="H52">
        <f t="shared" si="0"/>
        <v>-4.8495233679299998</v>
      </c>
      <c r="I52" s="1">
        <f t="shared" si="1"/>
        <v>2.6373280073300001E-4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3"/>
  <sheetViews>
    <sheetView topLeftCell="J1" workbookViewId="0">
      <selection activeCell="M5" sqref="M5"/>
    </sheetView>
  </sheetViews>
  <sheetFormatPr defaultRowHeight="15" x14ac:dyDescent="0.25"/>
  <cols>
    <col min="13" max="13" width="10" bestFit="1" customWidth="1"/>
  </cols>
  <sheetData>
    <row r="1" spans="1:15" x14ac:dyDescent="0.25">
      <c r="A1" t="s">
        <v>24</v>
      </c>
      <c r="B1" s="1">
        <v>5.4091870000000002E-3</v>
      </c>
      <c r="M1" t="s">
        <v>16</v>
      </c>
      <c r="N1" s="1">
        <v>2241357</v>
      </c>
    </row>
    <row r="2" spans="1:15" x14ac:dyDescent="0.25">
      <c r="A2" t="s">
        <v>23</v>
      </c>
      <c r="B2" s="1">
        <v>10577160</v>
      </c>
      <c r="M2" t="s">
        <v>17</v>
      </c>
      <c r="N2" s="1">
        <v>-2210</v>
      </c>
    </row>
    <row r="3" spans="1:15" x14ac:dyDescent="0.25">
      <c r="A3" t="s">
        <v>25</v>
      </c>
      <c r="B3" s="1">
        <v>3069959</v>
      </c>
      <c r="F3" s="2" t="e">
        <f>A3-Sheet7!O22B3/(1-B3)*C3/$B$24</f>
        <v>#VALUE!</v>
      </c>
      <c r="M3" t="s">
        <v>13</v>
      </c>
      <c r="N3" s="1">
        <f>B6</f>
        <v>7000000000</v>
      </c>
    </row>
    <row r="4" spans="1:15" x14ac:dyDescent="0.25">
      <c r="A4" t="s">
        <v>11</v>
      </c>
      <c r="B4" s="1">
        <f>(B3-B2)/B1^2</f>
        <v>-256574831709.98798</v>
      </c>
    </row>
    <row r="5" spans="1:15" x14ac:dyDescent="0.25">
      <c r="A5" t="s">
        <v>12</v>
      </c>
      <c r="B5" s="1">
        <v>1000000</v>
      </c>
    </row>
    <row r="6" spans="1:15" x14ac:dyDescent="0.25">
      <c r="A6" t="s">
        <v>13</v>
      </c>
      <c r="B6" s="1">
        <v>7000000000</v>
      </c>
    </row>
    <row r="7" spans="1:15" x14ac:dyDescent="0.25">
      <c r="A7" t="s">
        <v>7</v>
      </c>
      <c r="B7" t="s">
        <v>10</v>
      </c>
      <c r="C7" t="s">
        <v>15</v>
      </c>
      <c r="M7" t="s">
        <v>7</v>
      </c>
      <c r="N7" t="s">
        <v>22</v>
      </c>
      <c r="O7" t="s">
        <v>18</v>
      </c>
    </row>
    <row r="8" spans="1:15" x14ac:dyDescent="0.25">
      <c r="A8">
        <v>0</v>
      </c>
      <c r="B8" s="1">
        <f>IF($B$4*(A8-$B$1)^2+$B$2 &lt;$B$5, $B$5, $B$4*(A8-$B$1)^2+$B$2)</f>
        <v>3069959</v>
      </c>
      <c r="C8" s="1">
        <f>1/(B8/$B$6+A8)</f>
        <v>2280.1607448177647</v>
      </c>
      <c r="M8">
        <v>0</v>
      </c>
      <c r="N8" s="1">
        <f>($N$1*EXP(M8*$N$2))/$N$3</f>
        <v>3.2019385714285715E-4</v>
      </c>
      <c r="O8" s="1">
        <f>N3/N1</f>
        <v>3123.1080100135764</v>
      </c>
    </row>
    <row r="9" spans="1:15" x14ac:dyDescent="0.25">
      <c r="A9">
        <v>1E-3</v>
      </c>
      <c r="B9" s="1">
        <f>IF($B$4*(A9-$B$1)^2+$B$2 &lt;$B$5, $B$5, $B$4*(A9-$B$1)^2+$B$2)</f>
        <v>5589106.6567157218</v>
      </c>
      <c r="C9" s="1">
        <f>1/(B9/$B$6+A9)</f>
        <v>556.03627730533321</v>
      </c>
      <c r="M9" s="1">
        <v>5.0000000000000002E-5</v>
      </c>
      <c r="N9" s="1">
        <f t="shared" ref="N9:N18" si="0">($N$1*EXP(M9*$N$2))/$N$3</f>
        <v>2.8669720269635941E-4</v>
      </c>
      <c r="O9" s="1">
        <f>-LOG(1 - M9/(M9 + N9))/LOG(M9 + 1)</f>
        <v>3215.228421866575</v>
      </c>
    </row>
    <row r="10" spans="1:15" x14ac:dyDescent="0.25">
      <c r="A10">
        <v>2E-3</v>
      </c>
      <c r="B10" s="1">
        <f t="shared" ref="B10:B18" si="1">IF($B$4*(A10-$B$1)^2+$B$2 &lt;$B$5, $B$5, $B$4*(A10-$B$1)^2+$B$2)</f>
        <v>7595104.6500114677</v>
      </c>
      <c r="C10" s="1">
        <f>1/(B10/$B$6+A10)</f>
        <v>324.14753776135478</v>
      </c>
      <c r="M10">
        <v>1E-4</v>
      </c>
      <c r="N10" s="1">
        <f t="shared" si="0"/>
        <v>2.5670475619788444E-4</v>
      </c>
      <c r="O10" s="1">
        <f t="shared" ref="O10:O18" si="2">-LOG(1 - M10/(M10 + N10))/LOG(M10 + 1)</f>
        <v>3289.9825904016461</v>
      </c>
    </row>
    <row r="11" spans="1:15" x14ac:dyDescent="0.25">
      <c r="A11">
        <v>3.0000000000000001E-3</v>
      </c>
      <c r="B11" s="1">
        <f t="shared" si="1"/>
        <v>9087952.9798872378</v>
      </c>
      <c r="C11" s="1">
        <f>1/(B11/$B$6+A11)</f>
        <v>232.65125429700251</v>
      </c>
      <c r="M11" s="1">
        <v>1.4999999999999999E-4</v>
      </c>
      <c r="N11" s="1">
        <f t="shared" si="0"/>
        <v>2.2984992959421049E-4</v>
      </c>
      <c r="O11" s="1">
        <f t="shared" si="2"/>
        <v>3349.2487462530644</v>
      </c>
    </row>
    <row r="12" spans="1:15" x14ac:dyDescent="0.25">
      <c r="A12">
        <v>4.0000000000000001E-3</v>
      </c>
      <c r="B12" s="1">
        <f t="shared" si="1"/>
        <v>10067651.646343032</v>
      </c>
      <c r="C12" s="1">
        <f>1/(B12/$B$6+A12)</f>
        <v>183.88315793765165</v>
      </c>
      <c r="M12">
        <v>2.0000000000000001E-4</v>
      </c>
      <c r="N12" s="1">
        <f t="shared" si="0"/>
        <v>2.0580448495367186E-4</v>
      </c>
      <c r="O12" s="1">
        <f t="shared" si="2"/>
        <v>3395.0637787108462</v>
      </c>
    </row>
    <row r="13" spans="1:15" x14ac:dyDescent="0.25">
      <c r="A13">
        <v>5.0000000000000001E-3</v>
      </c>
      <c r="B13" s="1">
        <f t="shared" si="1"/>
        <v>10534200.649378849</v>
      </c>
      <c r="C13" s="1">
        <f>1/(B13/$B$6+A13)</f>
        <v>153.73060029978782</v>
      </c>
      <c r="M13" s="1">
        <v>2.5000000000000001E-4</v>
      </c>
      <c r="N13" s="1">
        <f t="shared" si="0"/>
        <v>1.8427452251920553E-4</v>
      </c>
      <c r="O13" s="1">
        <f t="shared" si="2"/>
        <v>3429.4296415014192</v>
      </c>
    </row>
    <row r="14" spans="1:15" x14ac:dyDescent="0.25">
      <c r="A14">
        <v>6.0000000000000001E-3</v>
      </c>
      <c r="B14" s="1">
        <f t="shared" si="1"/>
        <v>10487599.988994692</v>
      </c>
      <c r="C14" s="1">
        <f>1/(B14/$B$6+A14)</f>
        <v>133.36483286467129</v>
      </c>
      <c r="M14">
        <v>2.9999999999999997E-4</v>
      </c>
      <c r="N14" s="1">
        <f t="shared" si="0"/>
        <v>1.6499688846589126E-4</v>
      </c>
      <c r="O14" s="1">
        <f t="shared" si="2"/>
        <v>3454.198353328984</v>
      </c>
    </row>
    <row r="15" spans="1:15" x14ac:dyDescent="0.25">
      <c r="A15">
        <v>7.0000000000000001E-3</v>
      </c>
      <c r="B15" s="1">
        <f t="shared" si="1"/>
        <v>9927849.665190557</v>
      </c>
      <c r="C15" s="1">
        <f>1/(B15/$B$6+A15)</f>
        <v>118.78933373221305</v>
      </c>
      <c r="M15" s="1">
        <v>3.5E-4</v>
      </c>
      <c r="N15" s="1">
        <f t="shared" si="0"/>
        <v>1.4773595845615829E-4</v>
      </c>
      <c r="O15" s="1">
        <f t="shared" si="2"/>
        <v>3471.0161906317358</v>
      </c>
    </row>
    <row r="16" spans="1:15" x14ac:dyDescent="0.25">
      <c r="A16">
        <v>8.0000000000000002E-3</v>
      </c>
      <c r="B16" s="1">
        <f t="shared" si="1"/>
        <v>8854949.6779664457</v>
      </c>
      <c r="C16" s="1">
        <f>1/(B16/$B$6+A16)</f>
        <v>107.93316523654865</v>
      </c>
      <c r="M16">
        <v>4.0000000000000002E-4</v>
      </c>
      <c r="N16" s="1">
        <f t="shared" si="0"/>
        <v>1.3228075767908592E-4</v>
      </c>
      <c r="O16" s="1">
        <f t="shared" si="2"/>
        <v>3481.3072613232471</v>
      </c>
    </row>
    <row r="17" spans="1:15" x14ac:dyDescent="0.25">
      <c r="A17">
        <v>8.9999999999999993E-3</v>
      </c>
      <c r="B17" s="1">
        <f t="shared" si="1"/>
        <v>7268900.0273223612</v>
      </c>
      <c r="C17" s="1">
        <f>1/(B17/$B$6+A17)</f>
        <v>99.617327114530312</v>
      </c>
      <c r="M17" s="1">
        <v>4.4999999999999999E-4</v>
      </c>
      <c r="N17" s="1">
        <f t="shared" si="0"/>
        <v>1.1844238217296144E-4</v>
      </c>
      <c r="O17" s="1">
        <f t="shared" si="2"/>
        <v>3486.2804922984969</v>
      </c>
    </row>
    <row r="18" spans="1:15" x14ac:dyDescent="0.25">
      <c r="A18">
        <v>1.265E-2</v>
      </c>
      <c r="B18" s="1">
        <f t="shared" si="1"/>
        <v>1000000</v>
      </c>
      <c r="C18" s="1">
        <f>1/(B18/$B$6+A18)</f>
        <v>78.168620882188719</v>
      </c>
      <c r="M18">
        <v>5.0000000000000001E-4</v>
      </c>
      <c r="N18" s="1">
        <f t="shared" si="0"/>
        <v>1.0605168991274854E-4</v>
      </c>
      <c r="O18" s="1">
        <f t="shared" si="2"/>
        <v>3486.9487734779559</v>
      </c>
    </row>
    <row r="20" spans="1:15" x14ac:dyDescent="0.25">
      <c r="C20" s="1">
        <f>MIN(C8:C18)</f>
        <v>78.168620882188719</v>
      </c>
    </row>
    <row r="21" spans="1:15" x14ac:dyDescent="0.25">
      <c r="C21" s="1"/>
    </row>
    <row r="23" spans="1:15" x14ac:dyDescent="0.25">
      <c r="O23" s="1">
        <f>MIN(O8:O18)</f>
        <v>3123.1080100135764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B21" sqref="B21:B23"/>
    </sheetView>
  </sheetViews>
  <sheetFormatPr defaultRowHeight="15" x14ac:dyDescent="0.25"/>
  <sheetData>
    <row r="1" spans="1:6" x14ac:dyDescent="0.25">
      <c r="A1" t="s">
        <v>7</v>
      </c>
      <c r="B1" t="s">
        <v>8</v>
      </c>
      <c r="C1" t="s">
        <v>10</v>
      </c>
      <c r="D1" t="s">
        <v>21</v>
      </c>
      <c r="F1" t="s">
        <v>9</v>
      </c>
    </row>
    <row r="2" spans="1:6" x14ac:dyDescent="0.25">
      <c r="A2">
        <v>0</v>
      </c>
      <c r="B2">
        <f>1-1/(1+A2)^$B$20</f>
        <v>0</v>
      </c>
      <c r="C2">
        <f>$B$21*EXP($B$22*A2)</f>
        <v>2241357</v>
      </c>
      <c r="D2">
        <f>A2/(C2/$B$23+A2)</f>
        <v>0</v>
      </c>
      <c r="F2" s="1">
        <f t="shared" ref="F2:F10" si="0">A2-B2/(1-B2)*C2/$B$23</f>
        <v>0</v>
      </c>
    </row>
    <row r="3" spans="1:6" x14ac:dyDescent="0.25">
      <c r="A3" s="1">
        <v>5.0000000000000002E-5</v>
      </c>
      <c r="B3" s="1">
        <f>1-1/(1+A3)^$B$20</f>
        <v>0.14457041424484951</v>
      </c>
      <c r="C3" s="1">
        <f>$B$21*EXP($B$22*A3)</f>
        <v>2006880.4188745157</v>
      </c>
      <c r="D3" s="1">
        <f>A3/(C3/$B$23+A3)</f>
        <v>0.14850138224965012</v>
      </c>
      <c r="E3" t="str">
        <f>IF(B3&lt;D3, "Good", "Bad")</f>
        <v>Good</v>
      </c>
      <c r="F3" s="1">
        <f>A3-B3/(1-B3)*C3/$B$23</f>
        <v>1.5472295477562614E-6</v>
      </c>
    </row>
    <row r="4" spans="1:6" x14ac:dyDescent="0.25">
      <c r="A4">
        <v>1E-4</v>
      </c>
      <c r="B4" s="1">
        <f t="shared" ref="B4:B12" si="1">1-1/(1+A4)^$B$20</f>
        <v>0.26823451095120932</v>
      </c>
      <c r="C4">
        <f t="shared" ref="C4:C10" si="2">$B$21*EXP($B$22*A4)</f>
        <v>1796933.2933851911</v>
      </c>
      <c r="D4">
        <f t="shared" ref="D4:D12" si="3">A4/(C4/$B$23+A4)</f>
        <v>0.28034389298841955</v>
      </c>
      <c r="E4" t="str">
        <f t="shared" ref="E4:E12" si="4">IF(B4&lt;D4, "Good", "Bad")</f>
        <v>Good</v>
      </c>
      <c r="F4" s="1">
        <f t="shared" si="0"/>
        <v>5.9028120783680778E-6</v>
      </c>
    </row>
    <row r="5" spans="1:6" x14ac:dyDescent="0.25">
      <c r="A5" s="1">
        <v>1.4999999999999999E-4</v>
      </c>
      <c r="B5" s="1">
        <f t="shared" si="1"/>
        <v>0.37401637730311044</v>
      </c>
      <c r="C5">
        <f t="shared" si="2"/>
        <v>1608949.5071594734</v>
      </c>
      <c r="D5">
        <f t="shared" si="3"/>
        <v>0.39489279400484123</v>
      </c>
      <c r="E5" t="str">
        <f t="shared" si="4"/>
        <v>Good</v>
      </c>
      <c r="F5" s="1">
        <f t="shared" si="0"/>
        <v>1.2667911949785306E-5</v>
      </c>
    </row>
    <row r="6" spans="1:6" x14ac:dyDescent="0.25">
      <c r="A6">
        <v>2.0000000000000001E-4</v>
      </c>
      <c r="B6" s="1">
        <f t="shared" si="1"/>
        <v>0.46450254847867944</v>
      </c>
      <c r="C6">
        <f t="shared" si="2"/>
        <v>1440631.394675703</v>
      </c>
      <c r="D6">
        <f t="shared" si="3"/>
        <v>0.49284817545284826</v>
      </c>
      <c r="E6" t="str">
        <f t="shared" si="4"/>
        <v>Good</v>
      </c>
      <c r="F6" s="1">
        <f t="shared" si="0"/>
        <v>2.1480555177737405E-5</v>
      </c>
    </row>
    <row r="7" spans="1:6" x14ac:dyDescent="0.25">
      <c r="A7" s="1">
        <v>2.5000000000000001E-4</v>
      </c>
      <c r="B7" s="1">
        <f t="shared" si="1"/>
        <v>0.54190533388013651</v>
      </c>
      <c r="C7">
        <f t="shared" si="2"/>
        <v>1289921.6576344387</v>
      </c>
      <c r="D7">
        <f t="shared" si="3"/>
        <v>0.57567273011956144</v>
      </c>
      <c r="E7" t="str">
        <f t="shared" si="4"/>
        <v>Good</v>
      </c>
      <c r="F7" s="1">
        <f t="shared" si="0"/>
        <v>3.2011549059940501E-5</v>
      </c>
    </row>
    <row r="8" spans="1:6" x14ac:dyDescent="0.25">
      <c r="A8">
        <v>2.9999999999999997E-4</v>
      </c>
      <c r="B8" s="1">
        <f t="shared" si="1"/>
        <v>0.60811697574827517</v>
      </c>
      <c r="C8">
        <f t="shared" si="2"/>
        <v>1154978.2192612388</v>
      </c>
      <c r="D8">
        <f t="shared" si="3"/>
        <v>0.645165607429663</v>
      </c>
      <c r="E8" t="str">
        <f t="shared" si="4"/>
        <v>Good</v>
      </c>
      <c r="F8" s="1">
        <f t="shared" si="0"/>
        <v>4.3960818375991058E-5</v>
      </c>
    </row>
    <row r="9" spans="1:6" x14ac:dyDescent="0.25">
      <c r="A9" s="1">
        <v>3.5E-4</v>
      </c>
      <c r="B9" s="1">
        <f t="shared" si="1"/>
        <v>0.66475596771259626</v>
      </c>
      <c r="C9">
        <f t="shared" si="2"/>
        <v>1034151.7091931081</v>
      </c>
      <c r="D9">
        <f t="shared" si="3"/>
        <v>0.7031840759217094</v>
      </c>
      <c r="E9" t="str">
        <f t="shared" si="4"/>
        <v>Good</v>
      </c>
      <c r="F9" s="1">
        <f t="shared" si="0"/>
        <v>5.7054114104922572E-5</v>
      </c>
    </row>
    <row r="10" spans="1:6" x14ac:dyDescent="0.25">
      <c r="A10">
        <v>4.0000000000000002E-4</v>
      </c>
      <c r="B10" s="1">
        <f t="shared" si="1"/>
        <v>0.71320666851408865</v>
      </c>
      <c r="C10">
        <f t="shared" si="2"/>
        <v>925965.3037536015</v>
      </c>
      <c r="D10">
        <f t="shared" si="3"/>
        <v>0.751483111552121</v>
      </c>
      <c r="E10" t="str">
        <f t="shared" si="4"/>
        <v>Good</v>
      </c>
      <c r="F10" s="1">
        <f t="shared" si="0"/>
        <v>7.1040055206252463E-5</v>
      </c>
    </row>
    <row r="11" spans="1:6" x14ac:dyDescent="0.25">
      <c r="A11" s="1">
        <v>4.4999999999999999E-4</v>
      </c>
      <c r="B11" s="1">
        <f t="shared" si="1"/>
        <v>0.75465318172882501</v>
      </c>
      <c r="C11">
        <f t="shared" ref="C11:C12" si="5">$B$21*EXP($B$22*A11)</f>
        <v>829096.67521073006</v>
      </c>
      <c r="D11">
        <f t="shared" si="3"/>
        <v>0.79163696112841453</v>
      </c>
      <c r="E11" t="str">
        <f t="shared" si="4"/>
        <v>Good</v>
      </c>
      <c r="F11" s="1">
        <f>A11-B11/(1-B11)*C11/$B$23</f>
        <v>8.5687468098427243E-5</v>
      </c>
    </row>
    <row r="12" spans="1:6" x14ac:dyDescent="0.25">
      <c r="A12">
        <v>4.567749E-4</v>
      </c>
      <c r="B12" s="1">
        <f t="shared" si="1"/>
        <v>0.75978757437557254</v>
      </c>
      <c r="C12" s="1">
        <f>$B$21*EXP($B$22*A12)</f>
        <v>816775.47116607183</v>
      </c>
      <c r="D12">
        <f t="shared" si="3"/>
        <v>0.79652844458988914</v>
      </c>
      <c r="E12" t="str">
        <f t="shared" si="4"/>
        <v>Good</v>
      </c>
      <c r="F12" s="1">
        <f>A12-B12/(1-B12)*C12/$B$23</f>
        <v>8.7711171490559466E-5</v>
      </c>
    </row>
    <row r="20" spans="1:2" x14ac:dyDescent="0.25">
      <c r="A20" t="s">
        <v>19</v>
      </c>
      <c r="B20" s="1">
        <f>Sheet7!O23</f>
        <v>3123.1080100135764</v>
      </c>
    </row>
    <row r="21" spans="1:2" x14ac:dyDescent="0.25">
      <c r="A21" t="s">
        <v>16</v>
      </c>
      <c r="B21" s="1">
        <f>Sheet7!N1</f>
        <v>2241357</v>
      </c>
    </row>
    <row r="22" spans="1:2" x14ac:dyDescent="0.25">
      <c r="A22" t="s">
        <v>20</v>
      </c>
      <c r="B22" s="1">
        <f>Sheet7!N2</f>
        <v>-2210</v>
      </c>
    </row>
    <row r="23" spans="1:2" x14ac:dyDescent="0.25">
      <c r="A23" t="s">
        <v>13</v>
      </c>
      <c r="B23" s="1">
        <f>Sheet7!N3</f>
        <v>7000000000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Views>
    <sheetView workbookViewId="0">
      <selection activeCell="D10" sqref="D10"/>
    </sheetView>
  </sheetViews>
  <sheetFormatPr defaultRowHeight="15" x14ac:dyDescent="0.25"/>
  <sheetData>
    <row r="1" spans="1:6" x14ac:dyDescent="0.25">
      <c r="A1" t="s">
        <v>7</v>
      </c>
      <c r="B1" t="s">
        <v>8</v>
      </c>
      <c r="C1" t="s">
        <v>10</v>
      </c>
      <c r="D1" t="s">
        <v>21</v>
      </c>
      <c r="F1" t="s">
        <v>9</v>
      </c>
    </row>
    <row r="2" spans="1:6" x14ac:dyDescent="0.25">
      <c r="A2">
        <f>Sheet7!A8</f>
        <v>0</v>
      </c>
      <c r="B2">
        <f>$B$20*(A2)</f>
        <v>0</v>
      </c>
      <c r="C2" s="1">
        <f>IF(Sheet1!I19&gt;$B$25, $B$24*(A2-$B$21)^2+$B$22, $B$25)</f>
        <v>1000000</v>
      </c>
      <c r="D2" s="1">
        <f>A2/(C2/$B$26+A2)</f>
        <v>0</v>
      </c>
      <c r="F2" s="1">
        <f>A2-B2/(1-B2)*C2/$B$26</f>
        <v>0</v>
      </c>
    </row>
    <row r="3" spans="1:6" x14ac:dyDescent="0.25">
      <c r="A3">
        <v>5.0000000000000001E-3</v>
      </c>
      <c r="B3">
        <f t="shared" ref="B3:B12" si="0">$B$20*(A3)</f>
        <v>0.31267448352875493</v>
      </c>
      <c r="C3" s="1">
        <f>IF($B$24*(A3-$B$21)^2+$B$22&gt;$B$25, $B$24*(A3-$B$21)^2+$B$22, $B$25)</f>
        <v>10534200.649378849</v>
      </c>
      <c r="D3" s="1">
        <f>A3/(C3/$B$26+A3)</f>
        <v>0.76865300149893923</v>
      </c>
      <c r="F3" s="1">
        <f>A3-B3/(1-B3)*C3/$B$26</f>
        <v>4.3154053192930074E-3</v>
      </c>
    </row>
    <row r="4" spans="1:6" x14ac:dyDescent="0.25">
      <c r="A4">
        <v>6.0000000000000001E-3</v>
      </c>
      <c r="B4">
        <f t="shared" si="0"/>
        <v>0.3752093802345059</v>
      </c>
      <c r="C4" s="1">
        <f>IF($B$24*(A4-$B$21)^2+$B$22&gt;$B$25, $B$24*(A4-$B$21)^2+$B$22, $B$25)</f>
        <v>10487599.988994692</v>
      </c>
      <c r="D4">
        <f>A4/(C4/$B$26+A4)</f>
        <v>0.80018899718802783</v>
      </c>
      <c r="F4" s="1">
        <f>A4-B4/(1-B4)*C4/$B$26</f>
        <v>5.1002595183704284E-3</v>
      </c>
    </row>
    <row r="5" spans="1:6" x14ac:dyDescent="0.25">
      <c r="A5">
        <v>7.0000000000000001E-3</v>
      </c>
      <c r="B5">
        <f t="shared" si="0"/>
        <v>0.43774427694025686</v>
      </c>
      <c r="C5" s="1">
        <f>IF($B$24*(A5-$B$21)^2+$B$22&gt;$B$25, $B$24*(A5-$B$21)^2+$B$22, $B$25)</f>
        <v>9927849.665190557</v>
      </c>
      <c r="D5">
        <f>A5/(C5/$B$26+A5)</f>
        <v>0.8315253361254914</v>
      </c>
      <c r="F5" s="1">
        <f>A5-B5/(1-B5)*C5/$B$26</f>
        <v>5.8958101663343174E-3</v>
      </c>
    </row>
    <row r="6" spans="1:6" x14ac:dyDescent="0.25">
      <c r="A6">
        <v>8.0000000000000002E-3</v>
      </c>
      <c r="B6">
        <f t="shared" si="0"/>
        <v>0.50027917364600782</v>
      </c>
      <c r="C6" s="1">
        <f>IF($B$24*(A6-$B$21)^2+$B$22&gt;$B$25, $B$24*(A6-$B$21)^2+$B$22, $B$25)</f>
        <v>8854949.6779664457</v>
      </c>
      <c r="D6">
        <f>A6/(C6/$B$26+A6)</f>
        <v>0.86346532189238911</v>
      </c>
      <c r="F6" s="1">
        <f>A6-B6/(1-B6)*C6/$B$26</f>
        <v>6.7335937890729558E-3</v>
      </c>
    </row>
    <row r="7" spans="1:6" x14ac:dyDescent="0.25">
      <c r="A7">
        <v>8.9999999999999993E-3</v>
      </c>
      <c r="B7">
        <f t="shared" si="0"/>
        <v>0.56281407035175879</v>
      </c>
      <c r="C7" s="1">
        <f>IF($B$24*(A7-$B$21)^2+$B$22&gt;$B$25, $B$24*(A7-$B$21)^2+$B$22, $B$25)</f>
        <v>7268900.0273223612</v>
      </c>
      <c r="D7">
        <f>A7/(C7/$B$26+A7)</f>
        <v>0.89655594403077277</v>
      </c>
      <c r="F7" s="1">
        <f>A7-B7/(1-B7)*C7/$B$26</f>
        <v>7.6631907995728986E-3</v>
      </c>
    </row>
    <row r="8" spans="1:6" x14ac:dyDescent="0.25">
      <c r="A8">
        <v>0.01</v>
      </c>
      <c r="B8">
        <f t="shared" si="0"/>
        <v>0.62534896705750986</v>
      </c>
      <c r="C8" s="1">
        <f>IF($B$24*(A8-$B$21)^2+$B$22&gt;$B$25, $B$24*(A8-$B$21)^2+$B$22, $B$25)</f>
        <v>5169700.7132582981</v>
      </c>
      <c r="D8">
        <f>A8/(C8/$B$26+A8)</f>
        <v>0.9312262698373831</v>
      </c>
      <c r="F8" s="1">
        <f>A8-B8/(1-B8)*C8/$B$26</f>
        <v>8.7672844796999588E-3</v>
      </c>
    </row>
    <row r="9" spans="1:6" x14ac:dyDescent="0.25">
      <c r="A9">
        <v>1.0999999999999999E-2</v>
      </c>
      <c r="B9">
        <f t="shared" si="0"/>
        <v>0.68788386376326072</v>
      </c>
      <c r="C9" s="1">
        <f>IF($B$24*(A9-$B$21)^2+$B$22&gt;$B$25, $B$24*(A9-$B$21)^2+$B$22, $B$25)</f>
        <v>2557351.7357742628</v>
      </c>
      <c r="D9">
        <f>A9/(C9/$B$26+A9)</f>
        <v>0.9678552430419286</v>
      </c>
      <c r="F9" s="1">
        <f>A9-B9/(1-B9)*C9/$B$26</f>
        <v>1.019482306709075E-2</v>
      </c>
    </row>
    <row r="10" spans="1:6" x14ac:dyDescent="0.25">
      <c r="A10">
        <v>1.15E-2</v>
      </c>
      <c r="B10">
        <f>$B$20*(A10)</f>
        <v>0.71915131211613625</v>
      </c>
      <c r="C10" s="1">
        <f>IF($B$24*(A10-$B$21)^2+$B$22&gt;$B$25, $B$24*(A10-$B$21)^2+$B$22, $B$25)</f>
        <v>1058746.1232497506</v>
      </c>
      <c r="D10">
        <f>A10/(C10/$B$26+A10)</f>
        <v>0.98701860715649303</v>
      </c>
      <c r="F10" s="1">
        <f>A10-B10/(1-B10)*C10/$B$26</f>
        <v>1.1112705195471265E-2</v>
      </c>
    </row>
    <row r="11" spans="1:6" x14ac:dyDescent="0.25">
      <c r="A11">
        <v>1.2E-2</v>
      </c>
      <c r="B11">
        <f t="shared" si="0"/>
        <v>0.75041876046901179</v>
      </c>
      <c r="C11" s="1">
        <f>IF($B$24*(A11-$B$21)^2+$B$22&gt;$B$25, $B$24*(A11-$B$21)^2+$B$22, $B$25)</f>
        <v>1000000</v>
      </c>
      <c r="D11">
        <f>A11/(C11/$B$26+A11)</f>
        <v>0.9882352941176471</v>
      </c>
      <c r="F11" s="1">
        <f>A11-B11/(1-B11)*C11/$B$26</f>
        <v>1.1570469798657718E-2</v>
      </c>
    </row>
    <row r="12" spans="1:6" x14ac:dyDescent="0.25">
      <c r="A12">
        <f>Sheet7!A18</f>
        <v>1.265E-2</v>
      </c>
      <c r="B12">
        <f>$B$20*(A12)</f>
        <v>0.79106644332774989</v>
      </c>
      <c r="C12" s="1">
        <f>IF($B$24*(A12-$B$21)^2+$B$22&gt;$B$25, $B$24*(A12-$B$21)^2+$B$22, $B$25)</f>
        <v>1000000</v>
      </c>
      <c r="D12">
        <f>A12/(C12/$B$26+A12)</f>
        <v>0.98883305415968736</v>
      </c>
      <c r="F12" s="1">
        <f>A12-B12/(1-B12)*C12/$B$26</f>
        <v>1.210911277391769E-2</v>
      </c>
    </row>
    <row r="18" spans="1:2" x14ac:dyDescent="0.25">
      <c r="A18" t="s">
        <v>26</v>
      </c>
      <c r="B18">
        <v>0.8</v>
      </c>
    </row>
    <row r="20" spans="1:2" x14ac:dyDescent="0.25">
      <c r="A20" t="s">
        <v>14</v>
      </c>
      <c r="B20" s="1">
        <f>Sheet7!C20*(B18)</f>
        <v>62.534896705750981</v>
      </c>
    </row>
    <row r="21" spans="1:2" x14ac:dyDescent="0.25">
      <c r="A21" t="s">
        <v>24</v>
      </c>
      <c r="B21" s="1">
        <f>Sheet7!B1</f>
        <v>5.4091870000000002E-3</v>
      </c>
    </row>
    <row r="22" spans="1:2" x14ac:dyDescent="0.25">
      <c r="A22" t="s">
        <v>23</v>
      </c>
      <c r="B22" s="1">
        <f>Sheet7!B2</f>
        <v>10577160</v>
      </c>
    </row>
    <row r="23" spans="1:2" x14ac:dyDescent="0.25">
      <c r="A23" t="s">
        <v>25</v>
      </c>
      <c r="B23" s="1">
        <f>Sheet7!B3</f>
        <v>3069959</v>
      </c>
    </row>
    <row r="24" spans="1:2" x14ac:dyDescent="0.25">
      <c r="A24" t="s">
        <v>11</v>
      </c>
      <c r="B24" s="1">
        <f>Sheet7!B4</f>
        <v>-256574831709.98798</v>
      </c>
    </row>
    <row r="25" spans="1:2" x14ac:dyDescent="0.25">
      <c r="A25" t="s">
        <v>12</v>
      </c>
      <c r="B25" s="1">
        <f>Sheet7!B5</f>
        <v>1000000</v>
      </c>
    </row>
    <row r="26" spans="1:2" x14ac:dyDescent="0.25">
      <c r="A26" t="s">
        <v>13</v>
      </c>
      <c r="B26" s="1">
        <f>Sheet7!B6</f>
        <v>7000000000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Sheet7</vt:lpstr>
      <vt:lpstr>Sheet8</vt:lpstr>
      <vt:lpstr>Sheet9</vt:lpstr>
      <vt:lpstr>Sheet2!observationUDEC</vt:lpstr>
      <vt:lpstr>Sheet1!output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Yeti</dc:creator>
  <cp:lastModifiedBy>Mike Yeti</cp:lastModifiedBy>
  <dcterms:created xsi:type="dcterms:W3CDTF">2015-12-17T17:47:44Z</dcterms:created>
  <dcterms:modified xsi:type="dcterms:W3CDTF">2016-03-02T01:12:34Z</dcterms:modified>
</cp:coreProperties>
</file>